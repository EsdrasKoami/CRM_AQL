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5320" yWindow="270" windowWidth="25440" windowHeight="15270" tabRatio="600" firstSheet="1" activeTab="2" autoFilterDateGrouping="1"/>
  </bookViews>
  <sheets>
    <sheet xmlns:r="http://schemas.openxmlformats.org/officeDocument/2006/relationships" name="Listes" sheetId="1" state="hidden" r:id="rId1"/>
    <sheet xmlns:r="http://schemas.openxmlformats.org/officeDocument/2006/relationships" name="SC-A - ContratValid Succès" sheetId="2" state="visible" r:id="rId2"/>
    <sheet xmlns:r="http://schemas.openxmlformats.org/officeDocument/2006/relationships" name="SC-B - Échec Crédit" sheetId="3" state="visible" r:id="rId3"/>
    <sheet xmlns:r="http://schemas.openxmlformats.org/officeDocument/2006/relationships" name="SC-C - Simulation" sheetId="4" state="visible" r:id="rId4"/>
  </sheets>
  <definedNames>
    <definedName name="StatutScenario">Listes!$A$4:$A$8</definedName>
    <definedName name="StatutTests">Listes!$C$4:$C$6</definedName>
  </definedNames>
  <calcPr calcId="191029" fullCalcOnLoad="1"/>
</workbook>
</file>

<file path=xl/styles.xml><?xml version="1.0" encoding="utf-8"?>
<styleSheet xmlns="http://schemas.openxmlformats.org/spreadsheetml/2006/main">
  <numFmts count="1">
    <numFmt numFmtId="164" formatCode="yyyy-mm-dd h:mm:ss"/>
  </numFmts>
  <fonts count="4">
    <font>
      <name val="Aptos Narrow"/>
      <family val="2"/>
      <color theme="1"/>
      <sz val="11"/>
      <scheme val="minor"/>
    </font>
    <font>
      <name val="Aptos Narrow"/>
      <family val="2"/>
      <b val="1"/>
      <color theme="1"/>
      <sz val="11"/>
      <scheme val="minor"/>
    </font>
    <font>
      <name val="Aptos Narrow"/>
      <family val="2"/>
      <b val="1"/>
      <color theme="1"/>
      <sz val="20"/>
      <scheme val="minor"/>
    </font>
    <font>
      <b val="1"/>
      <sz val="20"/>
    </font>
  </fonts>
  <fills count="3">
    <fill>
      <patternFill/>
    </fill>
    <fill>
      <patternFill patternType="gray125"/>
    </fill>
    <fill>
      <patternFill patternType="solid">
        <fgColor theme="3" tint="0.8999908444471572"/>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diagonal/>
    </border>
    <border>
      <left style="medium">
        <color indexed="64"/>
      </left>
      <right/>
      <top/>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s>
  <cellStyleXfs count="1">
    <xf numFmtId="0" fontId="0" fillId="0" borderId="0"/>
  </cellStyleXfs>
  <cellXfs count="68">
    <xf numFmtId="0" fontId="0" fillId="0" borderId="0" pivotButton="0" quotePrefix="0" xfId="0"/>
    <xf numFmtId="0" fontId="1" fillId="0" borderId="0" pivotButton="0" quotePrefix="0" xfId="0"/>
    <xf numFmtId="0" fontId="1" fillId="2" borderId="1" pivotButton="0" quotePrefix="0" xfId="0"/>
    <xf numFmtId="0" fontId="0" fillId="0" borderId="1" pivotButton="0" quotePrefix="0" xfId="0"/>
    <xf numFmtId="0" fontId="0" fillId="0" borderId="1" applyAlignment="1" pivotButton="0" quotePrefix="0" xfId="0">
      <alignment wrapText="1"/>
    </xf>
    <xf numFmtId="0" fontId="1" fillId="2" borderId="1" applyAlignment="1" pivotButton="0" quotePrefix="0" xfId="0">
      <alignment vertical="center" wrapText="1"/>
    </xf>
    <xf numFmtId="0" fontId="1" fillId="2" borderId="5" applyAlignment="1" pivotButton="0" quotePrefix="0" xfId="0">
      <alignment vertical="center" wrapText="1"/>
    </xf>
    <xf numFmtId="0" fontId="0" fillId="0" borderId="7" applyAlignment="1" pivotButton="0" quotePrefix="0" xfId="0">
      <alignment horizontal="center"/>
    </xf>
    <xf numFmtId="0" fontId="0" fillId="0" borderId="2" pivotButton="0" quotePrefix="0" xfId="0"/>
    <xf numFmtId="0" fontId="2" fillId="0" borderId="0" applyAlignment="1" pivotButton="0" quotePrefix="0" xfId="0">
      <alignment horizontal="center"/>
    </xf>
    <xf numFmtId="0" fontId="0" fillId="0" borderId="1" applyAlignment="1" pivotButton="0" quotePrefix="0" xfId="0">
      <alignment horizontal="center"/>
    </xf>
    <xf numFmtId="0" fontId="1" fillId="2" borderId="8" pivotButton="0" quotePrefix="0" xfId="0"/>
    <xf numFmtId="0" fontId="0" fillId="0" borderId="14" pivotButton="0" quotePrefix="0" xfId="0"/>
    <xf numFmtId="0" fontId="0" fillId="0" borderId="15" pivotButton="0" quotePrefix="0" xfId="0"/>
    <xf numFmtId="0" fontId="0" fillId="0" borderId="17" pivotButton="0" quotePrefix="0" xfId="0"/>
    <xf numFmtId="0" fontId="0" fillId="0" borderId="8" pivotButton="0" quotePrefix="0" xfId="0"/>
    <xf numFmtId="0" fontId="0" fillId="0" borderId="20" pivotButton="0" quotePrefix="0" xfId="0"/>
    <xf numFmtId="0" fontId="1" fillId="2" borderId="21" applyAlignment="1" pivotButton="0" quotePrefix="0" xfId="0">
      <alignment horizontal="right"/>
    </xf>
    <xf numFmtId="14" fontId="0" fillId="0" borderId="1" applyAlignment="1" pivotButton="0" quotePrefix="0" xfId="0">
      <alignment wrapText="1"/>
    </xf>
    <xf numFmtId="14" fontId="0" fillId="0" borderId="1" pivotButton="0" quotePrefix="0" xfId="0"/>
    <xf numFmtId="0" fontId="0" fillId="0" borderId="14" applyAlignment="1" pivotButton="0" quotePrefix="0" xfId="0">
      <alignment wrapText="1"/>
    </xf>
    <xf numFmtId="0" fontId="0" fillId="0" borderId="8" applyAlignment="1" pivotButton="0" quotePrefix="0" xfId="0">
      <alignment wrapText="1"/>
    </xf>
    <xf numFmtId="0" fontId="0" fillId="0" borderId="15" applyAlignment="1" pivotButton="0" quotePrefix="0" xfId="0">
      <alignment wrapText="1"/>
    </xf>
    <xf numFmtId="0" fontId="0" fillId="0" borderId="17" applyAlignment="1" pivotButton="0" quotePrefix="0" xfId="0">
      <alignment wrapText="1"/>
    </xf>
    <xf numFmtId="0" fontId="0" fillId="0" borderId="20" applyAlignment="1" pivotButton="0" quotePrefix="0" xfId="0">
      <alignment wrapText="1"/>
    </xf>
    <xf numFmtId="0" fontId="0" fillId="0" borderId="1" applyAlignment="1" pivotButton="0" quotePrefix="0" xfId="0">
      <alignment vertical="center" wrapText="1"/>
    </xf>
    <xf numFmtId="0" fontId="0" fillId="0" borderId="11"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2" applyAlignment="1" pivotButton="0" quotePrefix="0" xfId="0">
      <alignment horizontal="center" vertical="center" wrapText="1"/>
    </xf>
    <xf numFmtId="0" fontId="0" fillId="0" borderId="3" applyAlignment="1" pivotButton="0" quotePrefix="0" xfId="0">
      <alignment horizontal="center" vertical="center" wrapText="1"/>
    </xf>
    <xf numFmtId="0" fontId="0" fillId="0" borderId="19" applyAlignment="1" pivotButton="0" quotePrefix="0" xfId="0">
      <alignment horizontal="center" vertical="center" wrapText="1"/>
    </xf>
    <xf numFmtId="0" fontId="0" fillId="0" borderId="13" applyAlignment="1" pivotButton="0" quotePrefix="0" xfId="0">
      <alignment horizontal="center" vertical="center"/>
    </xf>
    <xf numFmtId="0" fontId="0" fillId="0" borderId="4" applyAlignment="1" pivotButton="0" quotePrefix="0" xfId="0">
      <alignment horizontal="center" vertical="center"/>
    </xf>
    <xf numFmtId="0" fontId="0" fillId="0" borderId="22" applyAlignment="1" pivotButton="0" quotePrefix="0" xfId="0">
      <alignment horizontal="center"/>
    </xf>
    <xf numFmtId="0" fontId="0" fillId="0" borderId="23" applyAlignment="1" pivotButton="0" quotePrefix="0" xfId="0">
      <alignment horizontal="center"/>
    </xf>
    <xf numFmtId="0" fontId="0" fillId="0" borderId="24" applyAlignment="1" pivotButton="0" quotePrefix="0" xfId="0">
      <alignment horizontal="center"/>
    </xf>
    <xf numFmtId="0" fontId="0" fillId="0" borderId="1" applyAlignment="1" pivotButton="0" quotePrefix="0" xfId="0">
      <alignment horizontal="left"/>
    </xf>
    <xf numFmtId="0" fontId="1" fillId="2" borderId="9" applyAlignment="1" pivotButton="0" quotePrefix="0" xfId="0">
      <alignment horizontal="center" vertical="center"/>
    </xf>
    <xf numFmtId="0" fontId="1" fillId="2" borderId="10" applyAlignment="1" pivotButton="0" quotePrefix="0" xfId="0">
      <alignment horizontal="center" vertical="center"/>
    </xf>
    <xf numFmtId="0" fontId="1" fillId="2" borderId="9" applyAlignment="1" pivotButton="0" quotePrefix="0" xfId="0">
      <alignment horizontal="center"/>
    </xf>
    <xf numFmtId="0" fontId="1" fillId="2" borderId="10" applyAlignment="1" pivotButton="0" quotePrefix="0" xfId="0">
      <alignment horizontal="center"/>
    </xf>
    <xf numFmtId="0" fontId="2" fillId="2" borderId="9" applyAlignment="1" pivotButton="0" quotePrefix="0" xfId="0">
      <alignment horizontal="center"/>
    </xf>
    <xf numFmtId="0" fontId="2" fillId="2" borderId="6" applyAlignment="1" pivotButton="0" quotePrefix="0" xfId="0">
      <alignment horizontal="center"/>
    </xf>
    <xf numFmtId="0" fontId="2" fillId="2" borderId="10" applyAlignment="1" pivotButton="0" quotePrefix="0" xfId="0">
      <alignment horizontal="center"/>
    </xf>
    <xf numFmtId="0" fontId="0" fillId="0" borderId="1" applyAlignment="1" pivotButton="0" quotePrefix="0" xfId="0">
      <alignment horizontal="left" vertical="top"/>
    </xf>
    <xf numFmtId="0" fontId="1" fillId="2" borderId="1" applyAlignment="1" pivotButton="0" quotePrefix="0" xfId="0">
      <alignment horizontal="center"/>
    </xf>
    <xf numFmtId="0" fontId="0" fillId="0" borderId="1" applyAlignment="1" pivotButton="0" quotePrefix="0" xfId="0">
      <alignment horizontal="left" vertical="top" wrapText="1"/>
    </xf>
    <xf numFmtId="0" fontId="0" fillId="0" borderId="12" applyAlignment="1" pivotButton="0" quotePrefix="0" xfId="0">
      <alignment horizontal="center" vertical="center"/>
    </xf>
    <xf numFmtId="0" fontId="0" fillId="0" borderId="3" applyAlignment="1" pivotButton="0" quotePrefix="0" xfId="0">
      <alignment horizontal="center" vertical="center"/>
    </xf>
    <xf numFmtId="0" fontId="0" fillId="0" borderId="19" applyAlignment="1" pivotButton="0" quotePrefix="0" xfId="0">
      <alignment horizontal="center" vertical="center"/>
    </xf>
    <xf numFmtId="0" fontId="0" fillId="0" borderId="1" applyAlignment="1" pivotButton="0" quotePrefix="0" xfId="0">
      <alignment horizontal="center"/>
    </xf>
    <xf numFmtId="164" fontId="1" fillId="2" borderId="5" applyAlignment="1" pivotButton="0" quotePrefix="0" xfId="0">
      <alignment vertical="center" wrapText="1"/>
    </xf>
    <xf numFmtId="0" fontId="3" fillId="2" borderId="1" applyAlignment="1" pivotButton="0" quotePrefix="0" xfId="0">
      <alignment horizontal="center"/>
    </xf>
    <xf numFmtId="0" fontId="0" fillId="0" borderId="6" pivotButton="0" quotePrefix="0" xfId="0"/>
    <xf numFmtId="0" fontId="0" fillId="0" borderId="10" pivotButton="0" quotePrefix="0" xfId="0"/>
    <xf numFmtId="0" fontId="1" fillId="2" borderId="1" applyAlignment="1" pivotButton="0" quotePrefix="0" xfId="0">
      <alignment horizontal="center" vertical="center"/>
    </xf>
    <xf numFmtId="0" fontId="0" fillId="0" borderId="21" applyAlignment="1" pivotButton="0" quotePrefix="0" xfId="0">
      <alignment horizontal="center" vertical="center"/>
    </xf>
    <xf numFmtId="0" fontId="0" fillId="0" borderId="27" applyAlignment="1" pivotButton="0" quotePrefix="0" xfId="0">
      <alignment horizontal="center" vertical="center" wrapText="1"/>
    </xf>
    <xf numFmtId="0" fontId="0" fillId="0" borderId="16" pivotButton="0" quotePrefix="0" xfId="0"/>
    <xf numFmtId="0" fontId="0" fillId="0" borderId="3" pivotButton="0" quotePrefix="0" xfId="0"/>
    <xf numFmtId="0" fontId="0" fillId="0" borderId="4" pivotButton="0" quotePrefix="0" xfId="0"/>
    <xf numFmtId="0" fontId="0" fillId="0" borderId="18" pivotButton="0" quotePrefix="0" xfId="0"/>
    <xf numFmtId="0" fontId="0" fillId="0" borderId="28" pivotButton="0" quotePrefix="0" xfId="0"/>
    <xf numFmtId="0" fontId="0" fillId="0" borderId="29" applyAlignment="1" pivotButton="0" quotePrefix="0" xfId="0">
      <alignment horizontal="center"/>
    </xf>
    <xf numFmtId="0" fontId="0" fillId="0" borderId="23" pivotButton="0" quotePrefix="0" xfId="0"/>
    <xf numFmtId="0" fontId="0" fillId="0" borderId="24" pivotButton="0" quotePrefix="0" xfId="0"/>
    <xf numFmtId="0" fontId="0" fillId="0" borderId="27"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3:C8"/>
  <sheetViews>
    <sheetView workbookViewId="0">
      <selection activeCell="C15" sqref="C15"/>
    </sheetView>
  </sheetViews>
  <sheetFormatPr baseColWidth="10" defaultRowHeight="14.4"/>
  <cols>
    <col width="21.6640625" customWidth="1" min="1" max="1"/>
    <col width="18" customWidth="1" min="3" max="3"/>
  </cols>
  <sheetData>
    <row r="3">
      <c r="A3" s="1" t="inlineStr">
        <is>
          <t>Statuts de scénario</t>
        </is>
      </c>
      <c r="C3" s="1" t="inlineStr">
        <is>
          <t>Statuts de tests</t>
        </is>
      </c>
    </row>
    <row r="4">
      <c r="A4" t="inlineStr">
        <is>
          <t>En rédaction</t>
        </is>
      </c>
      <c r="C4" t="inlineStr">
        <is>
          <t>Non exécuté</t>
        </is>
      </c>
    </row>
    <row r="5">
      <c r="A5" t="inlineStr">
        <is>
          <t>Prêt</t>
        </is>
      </c>
      <c r="C5" t="inlineStr">
        <is>
          <t>Accepté</t>
        </is>
      </c>
    </row>
    <row r="6">
      <c r="A6" t="inlineStr">
        <is>
          <t>En cours</t>
        </is>
      </c>
      <c r="C6" t="inlineStr">
        <is>
          <t>Rejeté</t>
        </is>
      </c>
    </row>
    <row r="7">
      <c r="A7" t="inlineStr">
        <is>
          <t>Refusé</t>
        </is>
      </c>
    </row>
    <row r="8">
      <c r="A8" t="inlineStr">
        <is>
          <t>Accepté</t>
        </is>
      </c>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fitToPage="1"/>
  </sheetPr>
  <dimension ref="A1:G55"/>
  <sheetViews>
    <sheetView workbookViewId="0">
      <selection activeCell="A1" sqref="A1"/>
    </sheetView>
  </sheetViews>
  <sheetFormatPr baseColWidth="10" defaultRowHeight="14.4"/>
  <cols>
    <col width="17.5546875" customWidth="1" min="1" max="1"/>
    <col width="40" customWidth="1" min="2" max="2"/>
    <col width="30" customWidth="1" min="3" max="3"/>
    <col width="25" customWidth="1" min="4" max="4"/>
    <col width="50" customWidth="1" min="5" max="5"/>
    <col width="42.88671875" customWidth="1" min="6" max="6"/>
    <col width="43.88671875" customWidth="1" min="7" max="7"/>
  </cols>
  <sheetData>
    <row r="1" ht="28.8" customHeight="1">
      <c r="A1" s="52" t="n">
        <v>45778</v>
      </c>
      <c r="B1" s="18" t="n">
        <v>46044</v>
      </c>
      <c r="C1" s="6" t="inlineStr">
        <is>
          <t>Version</t>
        </is>
      </c>
      <c r="D1" s="4" t="n">
        <v>1</v>
      </c>
    </row>
    <row r="3" ht="25.8" customHeight="1">
      <c r="A3" s="53" t="inlineStr">
        <is>
          <t>Détails du scénario - Module CRM : Réception ContratValid – Succès</t>
        </is>
      </c>
      <c r="B3" s="54" t="n"/>
      <c r="C3" s="54" t="n"/>
      <c r="D3" s="54" t="n"/>
      <c r="E3" s="54" t="n"/>
      <c r="F3" s="54" t="n"/>
      <c r="G3" s="55" t="n"/>
    </row>
    <row r="4" ht="9" customHeight="1">
      <c r="A4" s="9" t="n"/>
      <c r="B4" s="9" t="n"/>
      <c r="C4" s="9" t="n"/>
      <c r="D4" s="9" t="n"/>
      <c r="E4" s="9" t="n"/>
      <c r="F4" s="9" t="n"/>
      <c r="G4" s="9" t="n"/>
    </row>
    <row r="5" ht="31.8" customHeight="1">
      <c r="A5" s="5" t="inlineStr">
        <is>
          <t>Numéro du scénario</t>
        </is>
      </c>
      <c r="B5" s="5" t="inlineStr">
        <is>
          <t>Nom du scénario</t>
        </is>
      </c>
      <c r="C5" s="5" t="inlineStr">
        <is>
          <t>Statut du scénario</t>
        </is>
      </c>
      <c r="D5" s="5" t="inlineStr">
        <is>
          <t>Date de création</t>
        </is>
      </c>
      <c r="F5" s="56" t="inlineStr">
        <is>
          <t>Modules couverts par ces tests</t>
        </is>
      </c>
      <c r="G5" s="55" t="n"/>
    </row>
    <row r="6">
      <c r="A6" s="4" t="inlineStr">
        <is>
          <t>SC-A</t>
        </is>
      </c>
      <c r="B6" s="4" t="inlineStr">
        <is>
          <t>CRM.ContratValid.Succès</t>
        </is>
      </c>
      <c r="C6" s="4" t="inlineStr">
        <is>
          <t>En rédaction</t>
        </is>
      </c>
      <c r="D6" s="18" t="n">
        <v>45778</v>
      </c>
      <c r="F6" s="37" t="inlineStr">
        <is>
          <t>Module CRM</t>
        </is>
      </c>
      <c r="G6" s="55" t="n"/>
    </row>
    <row r="7">
      <c r="F7" s="37" t="inlineStr">
        <is>
          <t>Module RabbitMQ</t>
        </is>
      </c>
      <c r="G7" s="55" t="n"/>
    </row>
    <row r="8">
      <c r="B8" s="2" t="inlineStr">
        <is>
          <t>Représentant(s) Compagnie</t>
        </is>
      </c>
      <c r="C8" s="2" t="inlineStr">
        <is>
          <t>Représentant(s) Client</t>
        </is>
      </c>
      <c r="D8" s="2" t="inlineStr">
        <is>
          <t>Date d'exécution des tests</t>
        </is>
      </c>
      <c r="F8" s="51" t="n"/>
      <c r="G8" s="55" t="n"/>
    </row>
    <row r="9">
      <c r="B9" s="3" t="inlineStr"/>
      <c r="C9" s="3" t="inlineStr"/>
      <c r="D9" s="19" t="inlineStr"/>
      <c r="F9" s="51" t="n"/>
      <c r="G9" s="55" t="n"/>
    </row>
    <row r="10">
      <c r="B10" s="3" t="n"/>
      <c r="C10" s="3" t="n"/>
      <c r="D10" s="3" t="n"/>
    </row>
    <row r="11">
      <c r="B11" s="3" t="n"/>
      <c r="C11" s="3" t="n"/>
      <c r="D11" s="3" t="n"/>
    </row>
    <row r="13">
      <c r="B13" s="46" t="inlineStr">
        <is>
          <t>Mise en contexte du scénario</t>
        </is>
      </c>
      <c r="C13" s="54" t="n"/>
      <c r="D13" s="55" t="n"/>
      <c r="F13" s="46" t="inlineStr">
        <is>
          <t>Préconditions à respecter</t>
        </is>
      </c>
      <c r="G13" s="55" t="n"/>
    </row>
    <row r="14" ht="174" customHeight="1">
      <c r="B14" s="47" t="inlineStr">
        <is>
          <t>En tant que système CRM
Lorsque je reçois un message ContratValid sur la file RabbitMQ pour un client solvable avec un contrat valide,
Alors :
  - Le contrat est validé (dates et crédit OK)
  - Un message est envoyé au Ceduler
  - L'opération est journalisée dans la file logs</t>
        </is>
      </c>
      <c r="C14" s="54" t="n"/>
      <c r="D14" s="55" t="n"/>
      <c r="F14" s="47" t="inlineStr">
        <is>
          <t>Le service CRM doit être démarré et connecté à RabbitMQ
Un client solvable (C1) doit exister dans le CrmRepository mock
Un contrat valide (dates futures, crédit suffisant) doit exister pour C1
La file RabbitMQ "contrats" doit être accessible
Le mouchard local doit être actif pour écouter la file Ceduler
La file "logs" doit être configurée</t>
        </is>
      </c>
      <c r="G14" s="55" t="n"/>
    </row>
    <row r="15">
      <c r="B15" s="7" t="n"/>
      <c r="C15" s="7" t="n"/>
      <c r="D15" s="7" t="n"/>
    </row>
    <row r="16">
      <c r="B16" s="8" t="n"/>
      <c r="C16" s="8" t="n"/>
      <c r="D16" s="8" t="n"/>
    </row>
    <row r="17" ht="25.8" customHeight="1">
      <c r="A17" s="53" t="inlineStr">
        <is>
          <t>Liste des tests d'acceptation</t>
        </is>
      </c>
      <c r="B17" s="54" t="n"/>
      <c r="C17" s="54" t="n"/>
      <c r="D17" s="54" t="n"/>
      <c r="E17" s="54" t="n"/>
      <c r="F17" s="54" t="n"/>
      <c r="G17" s="55" t="n"/>
    </row>
    <row r="18" ht="15" customHeight="1" thickBot="1">
      <c r="A18" s="11" t="inlineStr">
        <is>
          <t>No du test</t>
        </is>
      </c>
      <c r="B18" s="11" t="inlineStr">
        <is>
          <t>Description du test</t>
        </is>
      </c>
      <c r="C18" s="11" t="inlineStr">
        <is>
          <t>Statut du test</t>
        </is>
      </c>
      <c r="D18" s="11" t="inlineStr">
        <is>
          <t>No de l'étape</t>
        </is>
      </c>
      <c r="E18" s="11" t="inlineStr">
        <is>
          <t>Marche à suivre (Étape)</t>
        </is>
      </c>
      <c r="F18" s="11" t="inlineStr">
        <is>
          <t>Résultat attendu</t>
        </is>
      </c>
      <c r="G18" s="11" t="inlineStr">
        <is>
          <t>Résultat obtenu</t>
        </is>
      </c>
    </row>
    <row r="19" ht="43.2" customHeight="1">
      <c r="A19" s="57">
        <f>$A$6&amp;".1"</f>
        <v/>
      </c>
      <c r="B19" s="58" t="inlineStr">
        <is>
          <t>Le système reçoit et désérialise le message ContratValid</t>
        </is>
      </c>
      <c r="C19" s="32" t="inlineStr">
        <is>
          <t>Non exécuté</t>
        </is>
      </c>
      <c r="D19" s="12">
        <f>A19&amp;".1"</f>
        <v/>
      </c>
      <c r="E19" s="20" t="inlineStr">
        <is>
          <t>Publier un message RMQEnveloppe de type ContratValid sur la file RabbitMQ pour le client C1 (solvable, contrat valide)</t>
        </is>
      </c>
      <c r="F19" s="20" t="inlineStr">
        <is>
          <t>Le système CRM reçoit le message sans erreur. Aucune exception levée.</t>
        </is>
      </c>
      <c r="G19" s="13" t="inlineStr"/>
    </row>
    <row r="20" ht="29.4" customHeight="1" thickBot="1">
      <c r="A20" s="59" t="n"/>
      <c r="B20" s="60" t="n"/>
      <c r="C20" s="61" t="n"/>
      <c r="D20" s="3">
        <f>LEFT(D19,LEN(D19)-1)&amp; (RIGHT(D19,1) + 1)</f>
        <v/>
      </c>
      <c r="E20" s="3" t="inlineStr">
        <is>
          <t>Vérifier dans les logs que le message est correctement désérialisé en objet RMQEnveloppe</t>
        </is>
      </c>
      <c r="F20" s="4" t="inlineStr">
        <is>
          <t>L'objet RMQEnveloppe est correctement instancié avec les données du contrat de C1</t>
        </is>
      </c>
      <c r="G20" s="14" t="inlineStr"/>
    </row>
    <row r="21" ht="15" customHeight="1" thickBot="1">
      <c r="A21" s="62" t="n"/>
      <c r="B21" s="63" t="n"/>
      <c r="C21" s="17" t="inlineStr">
        <is>
          <t>Commentaires:</t>
        </is>
      </c>
      <c r="D21" s="64" t="n"/>
      <c r="E21" s="65" t="n"/>
      <c r="F21" s="65" t="n"/>
      <c r="G21" s="66" t="n"/>
    </row>
    <row r="22" ht="64.2" customHeight="1">
      <c r="A22" s="57">
        <f>$A$6&amp;"."&amp; (RIGHT(A19,1) + 1)</f>
        <v/>
      </c>
      <c r="B22" s="58" t="inlineStr">
        <is>
          <t>La validation des dates et du crédit retourne Succès</t>
        </is>
      </c>
      <c r="C22" s="32" t="inlineStr">
        <is>
          <t>Non exécuté</t>
        </is>
      </c>
      <c r="D22" s="12">
        <f>A22&amp;".1"</f>
        <v/>
      </c>
      <c r="E22" s="12" t="inlineStr">
        <is>
          <t>Le système appelle la logique de validation des dates du contrat (date début &lt; date fin, contrat non expiré)</t>
        </is>
      </c>
      <c r="F22" s="20" t="inlineStr">
        <is>
          <t>Les dates du contrat sont valides. La vérification des dates retourne OK.</t>
        </is>
      </c>
      <c r="G22" s="13" t="inlineStr"/>
    </row>
    <row r="23" ht="46.2" customHeight="1">
      <c r="A23" s="59" t="n"/>
      <c r="B23" s="60" t="n"/>
      <c r="C23" s="61" t="n"/>
      <c r="D23" s="3">
        <f>LEFT(D22,LEN(D22)-1)&amp; (RIGHT(D22,1) + 1)</f>
        <v/>
      </c>
      <c r="E23" s="4" t="inlineStr">
        <is>
          <t>Le système vérifie le crédit disponible du client C1 via le CrmRepository mock</t>
        </is>
      </c>
      <c r="F23" s="4" t="inlineStr">
        <is>
          <t>Le crédit de C1 est suffisant. La vérification du crédit retourne OK.</t>
        </is>
      </c>
      <c r="G23" s="14" t="inlineStr"/>
    </row>
    <row r="24" ht="33.6" customHeight="1">
      <c r="A24" s="59" t="n"/>
      <c r="B24" s="60" t="n"/>
      <c r="C24" s="61" t="n"/>
      <c r="D24" s="3">
        <f>LEFT(D23,LEN(D23)-1)&amp; (RIGHT(D23,1) + 1)</f>
        <v/>
      </c>
      <c r="E24" s="4" t="inlineStr">
        <is>
          <t>Observer le statut global de validation dans les logs du système</t>
        </is>
      </c>
      <c r="F24" s="4" t="inlineStr">
        <is>
          <t>Le log indique "ContratValid – Validation OK" pour le contrat de C1. Le statut est Accepté.</t>
        </is>
      </c>
      <c r="G24" s="16" t="inlineStr"/>
    </row>
    <row r="25" ht="54" customHeight="1">
      <c r="A25" s="59" t="n"/>
      <c r="B25" s="60" t="n"/>
      <c r="C25" s="61" t="n"/>
      <c r="D25" s="3">
        <f>LEFT(D24,LEN(D24)-1)&amp; (RIGHT(D24,1) + 1)</f>
        <v/>
      </c>
      <c r="E25" s="4" t="inlineStr">
        <is>
          <t>Vérifier qu'aucun rejet n'est déclenché</t>
        </is>
      </c>
      <c r="F25" s="25" t="inlineStr">
        <is>
          <t>Aucun événement de rejet n'est généré. Le traitement continue normalement vers l'étape d'envoi au Ceduler.</t>
        </is>
      </c>
      <c r="G25" s="16" t="inlineStr"/>
    </row>
    <row r="26" ht="15" customHeight="1" thickBot="1">
      <c r="A26" s="59" t="n"/>
      <c r="B26" s="60" t="n"/>
      <c r="C26" s="61" t="n"/>
      <c r="D26" s="3">
        <f>LEFT(D25,LEN(D25)-1)&amp; (RIGHT(D25,1) + 1)</f>
        <v/>
      </c>
      <c r="E26" s="15" t="inlineStr"/>
      <c r="F26" s="15" t="inlineStr"/>
      <c r="G26" s="16" t="inlineStr"/>
    </row>
    <row r="27" ht="15" customHeight="1" thickBot="1">
      <c r="A27" s="62" t="n"/>
      <c r="B27" s="63" t="n"/>
      <c r="C27" s="17" t="inlineStr">
        <is>
          <t>Commentaires:</t>
        </is>
      </c>
      <c r="D27" s="64" t="n"/>
      <c r="E27" s="65" t="n"/>
      <c r="F27" s="65" t="n"/>
      <c r="G27" s="66" t="n"/>
    </row>
    <row r="28">
      <c r="A28" s="57">
        <f>$A$6&amp;"."&amp; (RIGHT(A22,1) + 1)</f>
        <v/>
      </c>
      <c r="B28" s="67" t="inlineStr">
        <is>
          <t>Un message de confirmation est envoyé au Ceduler et journalisé</t>
        </is>
      </c>
      <c r="C28" s="32" t="inlineStr">
        <is>
          <t>Non exécuté</t>
        </is>
      </c>
      <c r="D28" s="12">
        <f>A28&amp;".1"</f>
        <v/>
      </c>
      <c r="E28" s="12" t="inlineStr">
        <is>
          <t>Vérifier que le mouchard local reçoit exactement un message sur la file Ceduler</t>
        </is>
      </c>
      <c r="F28" s="12" t="inlineStr">
        <is>
          <t>Le mouchard local reçoit 1 message de type CedulerConfirmation pour le contrat de C1.</t>
        </is>
      </c>
      <c r="G28" s="13" t="inlineStr"/>
    </row>
    <row r="29">
      <c r="A29" s="59" t="n"/>
      <c r="B29" s="60" t="n"/>
      <c r="C29" s="61" t="n"/>
      <c r="D29" s="3">
        <f>LEFT(D28,LEN(D28)-1)&amp; (RIGHT(D28,1) + 1)</f>
        <v/>
      </c>
      <c r="E29" s="3" t="inlineStr">
        <is>
          <t>Vérifier le contenu du message reçu par le mouchard</t>
        </is>
      </c>
      <c r="F29" s="3" t="inlineStr">
        <is>
          <t>Le message contient l'identifiant du contrat et l'identifiant du client C1 correctement renseignés.</t>
        </is>
      </c>
      <c r="G29" s="14" t="inlineStr"/>
    </row>
    <row r="30" ht="15" customHeight="1" thickBot="1">
      <c r="A30" s="59" t="n"/>
      <c r="B30" s="60" t="n"/>
      <c r="C30" s="61" t="n"/>
      <c r="D30" s="3">
        <f>LEFT(D29,LEN(D29)-1)&amp; (RIGHT(D29,1) + 1)</f>
        <v/>
      </c>
      <c r="E30" s="15" t="inlineStr">
        <is>
          <t>Vérifier qu'un enregistrement de log est présent dans la file distante "logs"</t>
        </is>
      </c>
      <c r="F30" s="15" t="inlineStr">
        <is>
          <t>Un log est présent dans la file "logs" indiquant l'envoi au Ceduler avec statut Succès.</t>
        </is>
      </c>
      <c r="G30" s="16" t="inlineStr"/>
    </row>
    <row r="31" ht="15" customHeight="1" thickBot="1">
      <c r="A31" s="62" t="n"/>
      <c r="B31" s="63" t="n"/>
      <c r="C31" s="17" t="inlineStr">
        <is>
          <t>Commentaires:</t>
        </is>
      </c>
      <c r="D31" s="64" t="n"/>
      <c r="E31" s="65" t="n"/>
      <c r="F31" s="65" t="n"/>
      <c r="G31" s="66" t="n"/>
    </row>
    <row r="32">
      <c r="A32" s="57">
        <f>$A$6&amp;"."&amp; (RIGHT(A28,1) + 1)</f>
        <v/>
      </c>
      <c r="B32" s="67" t="inlineStr"/>
      <c r="C32" s="32" t="inlineStr">
        <is>
          <t>Non exécuté</t>
        </is>
      </c>
      <c r="D32" s="12">
        <f>A32&amp;".1"</f>
        <v/>
      </c>
      <c r="E32" s="12" t="inlineStr"/>
      <c r="F32" s="12" t="inlineStr"/>
      <c r="G32" s="13" t="inlineStr"/>
    </row>
    <row r="33">
      <c r="A33" s="59" t="n"/>
      <c r="B33" s="60" t="n"/>
      <c r="C33" s="61" t="n"/>
      <c r="D33" s="3">
        <f>LEFT(D32,LEN(D32)-1)&amp; (RIGHT(D32,1) + 1)</f>
        <v/>
      </c>
      <c r="E33" s="3" t="inlineStr"/>
      <c r="F33" s="3" t="inlineStr"/>
      <c r="G33" s="14" t="inlineStr"/>
    </row>
    <row r="34" ht="15" customHeight="1" thickBot="1">
      <c r="A34" s="59" t="n"/>
      <c r="B34" s="60" t="n"/>
      <c r="C34" s="61" t="n"/>
      <c r="D34" s="3">
        <f>LEFT(D33,LEN(D33)-1)&amp; (RIGHT(D33,1) + 1)</f>
        <v/>
      </c>
      <c r="E34" s="15" t="inlineStr"/>
      <c r="F34" s="15" t="inlineStr"/>
      <c r="G34" s="16" t="inlineStr"/>
    </row>
    <row r="35" ht="15" customHeight="1" thickBot="1">
      <c r="A35" s="62" t="n"/>
      <c r="B35" s="63" t="n"/>
      <c r="C35" s="17" t="inlineStr">
        <is>
          <t>Commentaires:</t>
        </is>
      </c>
      <c r="D35" s="64" t="n"/>
      <c r="E35" s="65" t="n"/>
      <c r="F35" s="65" t="n"/>
      <c r="G35" s="66" t="n"/>
    </row>
    <row r="36">
      <c r="A36" s="57">
        <f>$A$6&amp;"."&amp; (RIGHT(A32,1) + 1)</f>
        <v/>
      </c>
      <c r="B36" s="67" t="inlineStr"/>
      <c r="C36" s="32" t="inlineStr">
        <is>
          <t>Non exécuté</t>
        </is>
      </c>
      <c r="D36" s="12">
        <f>A36&amp;".1"</f>
        <v/>
      </c>
      <c r="E36" s="12" t="inlineStr"/>
      <c r="F36" s="12" t="inlineStr"/>
      <c r="G36" s="13" t="inlineStr"/>
    </row>
    <row r="37">
      <c r="A37" s="59" t="n"/>
      <c r="B37" s="60" t="n"/>
      <c r="C37" s="61" t="n"/>
      <c r="D37" s="3">
        <f>LEFT(D36,LEN(D36)-1)&amp; (RIGHT(D36,1) + 1)</f>
        <v/>
      </c>
      <c r="E37" s="3" t="inlineStr"/>
      <c r="F37" s="3" t="inlineStr"/>
      <c r="G37" s="14" t="inlineStr"/>
    </row>
    <row r="38" ht="15" customHeight="1" thickBot="1">
      <c r="A38" s="59" t="n"/>
      <c r="B38" s="60" t="n"/>
      <c r="C38" s="61" t="n"/>
      <c r="D38" s="3">
        <f>LEFT(D37,LEN(D37)-1)&amp; (RIGHT(D37,1) + 1)</f>
        <v/>
      </c>
      <c r="E38" s="15" t="inlineStr"/>
      <c r="F38" s="15" t="inlineStr"/>
      <c r="G38" s="16" t="inlineStr"/>
    </row>
    <row r="39" ht="15" customHeight="1" thickBot="1">
      <c r="A39" s="62" t="n"/>
      <c r="B39" s="63" t="n"/>
      <c r="C39" s="17" t="inlineStr">
        <is>
          <t>Commentaires:</t>
        </is>
      </c>
      <c r="D39" s="64" t="n"/>
      <c r="E39" s="65" t="n"/>
      <c r="F39" s="65" t="n"/>
      <c r="G39" s="66" t="n"/>
    </row>
    <row r="40">
      <c r="A40" s="57">
        <f>$A$6&amp;"."&amp; (RIGHT(A36,1) + 1)</f>
        <v/>
      </c>
      <c r="B40" s="67" t="inlineStr"/>
      <c r="C40" s="32" t="inlineStr">
        <is>
          <t>Non exécuté</t>
        </is>
      </c>
      <c r="D40" s="12">
        <f>A40&amp;".1"</f>
        <v/>
      </c>
      <c r="E40" s="12" t="inlineStr"/>
      <c r="F40" s="12" t="inlineStr"/>
      <c r="G40" s="13" t="inlineStr"/>
    </row>
    <row r="41">
      <c r="A41" s="59" t="n"/>
      <c r="B41" s="60" t="n"/>
      <c r="C41" s="61" t="n"/>
      <c r="D41" s="3">
        <f>LEFT(D40,LEN(D40)-1)&amp; (RIGHT(D40,1) + 1)</f>
        <v/>
      </c>
      <c r="E41" s="3" t="inlineStr"/>
      <c r="F41" s="3" t="inlineStr"/>
      <c r="G41" s="14" t="inlineStr"/>
    </row>
    <row r="42" ht="15" customHeight="1" thickBot="1">
      <c r="A42" s="59" t="n"/>
      <c r="B42" s="60" t="n"/>
      <c r="C42" s="61" t="n"/>
      <c r="D42" s="3">
        <f>LEFT(D41,LEN(D41)-1)&amp; (RIGHT(D41,1) + 1)</f>
        <v/>
      </c>
      <c r="E42" s="15" t="inlineStr"/>
      <c r="F42" s="15" t="inlineStr"/>
      <c r="G42" s="16" t="inlineStr"/>
    </row>
    <row r="43" ht="15" customHeight="1" thickBot="1">
      <c r="A43" s="62" t="n"/>
      <c r="B43" s="63" t="n"/>
      <c r="C43" s="17" t="inlineStr">
        <is>
          <t>Commentaires:</t>
        </is>
      </c>
      <c r="D43" s="64" t="n"/>
      <c r="E43" s="65" t="n"/>
      <c r="F43" s="65" t="n"/>
      <c r="G43" s="66" t="n"/>
    </row>
    <row r="44">
      <c r="A44" s="57">
        <f>$A$6&amp;"."&amp; (RIGHT(A40,1) + 1)</f>
        <v/>
      </c>
      <c r="B44" s="67" t="inlineStr"/>
      <c r="C44" s="32" t="inlineStr">
        <is>
          <t>Non exécuté</t>
        </is>
      </c>
      <c r="D44" s="12">
        <f>A44&amp;".1"</f>
        <v/>
      </c>
      <c r="E44" s="12" t="inlineStr"/>
      <c r="F44" s="12" t="inlineStr"/>
      <c r="G44" s="13" t="inlineStr"/>
    </row>
    <row r="45">
      <c r="A45" s="59" t="n"/>
      <c r="B45" s="60" t="n"/>
      <c r="C45" s="61" t="n"/>
      <c r="D45" s="3">
        <f>LEFT(D44,LEN(D44)-1)&amp; (RIGHT(D44,1) + 1)</f>
        <v/>
      </c>
      <c r="E45" s="3" t="inlineStr"/>
      <c r="F45" s="3" t="inlineStr"/>
      <c r="G45" s="14" t="inlineStr"/>
    </row>
    <row r="46" ht="15" customHeight="1" thickBot="1">
      <c r="A46" s="59" t="n"/>
      <c r="B46" s="60" t="n"/>
      <c r="C46" s="61" t="n"/>
      <c r="D46" s="3">
        <f>LEFT(D45,LEN(D45)-1)&amp; (RIGHT(D45,1) + 1)</f>
        <v/>
      </c>
      <c r="E46" s="15" t="inlineStr"/>
      <c r="F46" s="15" t="inlineStr"/>
      <c r="G46" s="16" t="inlineStr"/>
    </row>
    <row r="47" ht="15" customHeight="1" thickBot="1">
      <c r="A47" s="62" t="n"/>
      <c r="B47" s="63" t="n"/>
      <c r="C47" s="17" t="inlineStr">
        <is>
          <t>Commentaires:</t>
        </is>
      </c>
      <c r="D47" s="64" t="n"/>
      <c r="E47" s="65" t="n"/>
      <c r="F47" s="65" t="n"/>
      <c r="G47" s="66" t="n"/>
    </row>
    <row r="48">
      <c r="A48" s="57">
        <f>$A$6&amp;"."&amp; (RIGHT(A44,1) + 1)</f>
        <v/>
      </c>
      <c r="B48" s="67" t="inlineStr"/>
      <c r="C48" s="32" t="inlineStr">
        <is>
          <t>Non exécuté</t>
        </is>
      </c>
      <c r="D48" s="12">
        <f>A48&amp;".1"</f>
        <v/>
      </c>
      <c r="E48" s="12" t="inlineStr"/>
      <c r="F48" s="12" t="inlineStr"/>
      <c r="G48" s="13" t="inlineStr"/>
    </row>
    <row r="49">
      <c r="A49" s="59" t="n"/>
      <c r="B49" s="60" t="n"/>
      <c r="C49" s="61" t="n"/>
      <c r="D49" s="3">
        <f>LEFT(D48,LEN(D48)-1)&amp; (RIGHT(D48,1) + 1)</f>
        <v/>
      </c>
      <c r="E49" s="3" t="inlineStr"/>
      <c r="F49" s="3" t="inlineStr"/>
      <c r="G49" s="14" t="inlineStr"/>
    </row>
    <row r="50" ht="15" customHeight="1" thickBot="1">
      <c r="A50" s="59" t="n"/>
      <c r="B50" s="60" t="n"/>
      <c r="C50" s="61" t="n"/>
      <c r="D50" s="3">
        <f>LEFT(D49,LEN(D49)-1)&amp; (RIGHT(D49,1) + 1)</f>
        <v/>
      </c>
      <c r="E50" s="15" t="inlineStr"/>
      <c r="F50" s="15" t="inlineStr"/>
      <c r="G50" s="16" t="inlineStr"/>
    </row>
    <row r="51" ht="15" customHeight="1" thickBot="1">
      <c r="A51" s="62" t="n"/>
      <c r="B51" s="63" t="n"/>
      <c r="C51" s="17" t="inlineStr">
        <is>
          <t>Commentaires:</t>
        </is>
      </c>
      <c r="D51" s="64" t="n"/>
      <c r="E51" s="65" t="n"/>
      <c r="F51" s="65" t="n"/>
      <c r="G51" s="66" t="n"/>
    </row>
    <row r="52">
      <c r="A52" s="57">
        <f>$A$6&amp;"."&amp; (RIGHT(A48,1) + 1)</f>
        <v/>
      </c>
      <c r="B52" s="67" t="inlineStr"/>
      <c r="C52" s="32" t="inlineStr">
        <is>
          <t>Non exécuté</t>
        </is>
      </c>
      <c r="D52" s="12">
        <f>A52&amp;".1"</f>
        <v/>
      </c>
      <c r="E52" s="12" t="inlineStr"/>
      <c r="F52" s="12" t="inlineStr"/>
      <c r="G52" s="13" t="inlineStr"/>
    </row>
    <row r="53">
      <c r="A53" s="59" t="n"/>
      <c r="B53" s="60" t="n"/>
      <c r="C53" s="61" t="n"/>
      <c r="D53" s="3">
        <f>LEFT(D52,LEN(D52)-1)&amp; (RIGHT(D52,1) + 1)</f>
        <v/>
      </c>
      <c r="E53" s="3" t="inlineStr"/>
      <c r="F53" s="3" t="inlineStr"/>
      <c r="G53" s="14" t="inlineStr"/>
    </row>
    <row r="54" ht="15" customHeight="1" thickBot="1">
      <c r="A54" s="59" t="n"/>
      <c r="B54" s="60" t="n"/>
      <c r="C54" s="61" t="n"/>
      <c r="D54" s="3">
        <f>LEFT(D53,LEN(D53)-1)&amp; (RIGHT(D53,1) + 1)</f>
        <v/>
      </c>
      <c r="E54" s="15" t="inlineStr"/>
      <c r="F54" s="15" t="inlineStr"/>
      <c r="G54" s="16" t="inlineStr"/>
    </row>
    <row r="55" ht="15" customHeight="1" thickBot="1">
      <c r="A55" s="62" t="n"/>
      <c r="B55" s="63" t="n"/>
      <c r="C55" s="17" t="inlineStr">
        <is>
          <t>Commentaires:</t>
        </is>
      </c>
      <c r="D55" s="64" t="n"/>
      <c r="E55" s="65" t="n"/>
      <c r="F55" s="65" t="n"/>
      <c r="G55" s="66" t="n"/>
    </row>
  </sheetData>
  <mergeCells count="47">
    <mergeCell ref="A36:A39"/>
    <mergeCell ref="A48:A51"/>
    <mergeCell ref="B14:D14"/>
    <mergeCell ref="A17:G17"/>
    <mergeCell ref="B22:B27"/>
    <mergeCell ref="D39:G39"/>
    <mergeCell ref="C48:C50"/>
    <mergeCell ref="B13:D13"/>
    <mergeCell ref="F6:G6"/>
    <mergeCell ref="D55:G55"/>
    <mergeCell ref="C32:C34"/>
    <mergeCell ref="D51:G51"/>
    <mergeCell ref="F7:G7"/>
    <mergeCell ref="B52:B55"/>
    <mergeCell ref="D35:G35"/>
    <mergeCell ref="F5:G5"/>
    <mergeCell ref="A19:A21"/>
    <mergeCell ref="C28:C30"/>
    <mergeCell ref="B48:B51"/>
    <mergeCell ref="B28:B31"/>
    <mergeCell ref="F8:G8"/>
    <mergeCell ref="A32:A35"/>
    <mergeCell ref="B44:B47"/>
    <mergeCell ref="D31:G31"/>
    <mergeCell ref="B40:B43"/>
    <mergeCell ref="D21:G21"/>
    <mergeCell ref="F13:G13"/>
    <mergeCell ref="D27:G27"/>
    <mergeCell ref="F9:G9"/>
    <mergeCell ref="C19:C20"/>
    <mergeCell ref="C44:C46"/>
    <mergeCell ref="B36:B39"/>
    <mergeCell ref="C40:C42"/>
    <mergeCell ref="A22:A27"/>
    <mergeCell ref="A44:A47"/>
    <mergeCell ref="A3:G3"/>
    <mergeCell ref="D47:G47"/>
    <mergeCell ref="A28:A31"/>
    <mergeCell ref="C52:C54"/>
    <mergeCell ref="F14:G14"/>
    <mergeCell ref="D43:G43"/>
    <mergeCell ref="B19:B21"/>
    <mergeCell ref="C22:C26"/>
    <mergeCell ref="B32:B35"/>
    <mergeCell ref="C36:C38"/>
    <mergeCell ref="A40:A43"/>
    <mergeCell ref="A52:A55"/>
  </mergeCells>
  <pageMargins left="0.2362204724409449" right="0.2362204724409449" top="0.7480314960629921" bottom="0.7480314960629921" header="0.3149606299212598" footer="0.3149606299212598"/>
  <pageSetup orientation="landscape" scale="53" fitToHeight="0"/>
</worksheet>
</file>

<file path=xl/worksheets/sheet3.xml><?xml version="1.0" encoding="utf-8"?>
<worksheet xmlns="http://schemas.openxmlformats.org/spreadsheetml/2006/main">
  <sheetPr>
    <outlinePr summaryBelow="1" summaryRight="1"/>
    <pageSetUpPr fitToPage="1"/>
  </sheetPr>
  <dimension ref="A1:G55"/>
  <sheetViews>
    <sheetView workbookViewId="0">
      <selection activeCell="A1" sqref="A1"/>
    </sheetView>
  </sheetViews>
  <sheetFormatPr baseColWidth="10" defaultRowHeight="14.4"/>
  <cols>
    <col width="17.5546875" customWidth="1" min="1" max="1"/>
    <col width="40" customWidth="1" min="2" max="2"/>
    <col width="30" customWidth="1" min="3" max="3"/>
    <col width="25" customWidth="1" min="4" max="4"/>
    <col width="50" customWidth="1" min="5" max="5"/>
    <col width="42.88671875" customWidth="1" min="6" max="6"/>
    <col width="43.88671875" customWidth="1" min="7" max="7"/>
  </cols>
  <sheetData>
    <row r="1" ht="28.8" customHeight="1">
      <c r="A1" s="52" t="n">
        <v>45778</v>
      </c>
      <c r="B1" s="18" t="n">
        <v>46044</v>
      </c>
      <c r="C1" s="6" t="inlineStr">
        <is>
          <t>Version</t>
        </is>
      </c>
      <c r="D1" s="4" t="n">
        <v>1</v>
      </c>
    </row>
    <row r="3" ht="25.8" customHeight="1">
      <c r="A3" s="53" t="inlineStr">
        <is>
          <t>Détails du scénario - Module CRM : Rejet Automatique – Client Insolvable</t>
        </is>
      </c>
      <c r="B3" s="54" t="n"/>
      <c r="C3" s="54" t="n"/>
      <c r="D3" s="54" t="n"/>
      <c r="E3" s="54" t="n"/>
      <c r="F3" s="54" t="n"/>
      <c r="G3" s="55" t="n"/>
    </row>
    <row r="4" ht="9" customHeight="1">
      <c r="A4" s="9" t="n"/>
      <c r="B4" s="9" t="n"/>
      <c r="C4" s="9" t="n"/>
      <c r="D4" s="9" t="n"/>
      <c r="E4" s="9" t="n"/>
      <c r="F4" s="9" t="n"/>
      <c r="G4" s="9" t="n"/>
    </row>
    <row r="5" ht="31.8" customHeight="1">
      <c r="A5" s="5" t="inlineStr">
        <is>
          <t>Numéro du scénario</t>
        </is>
      </c>
      <c r="B5" s="5" t="inlineStr">
        <is>
          <t>Nom du scénario</t>
        </is>
      </c>
      <c r="C5" s="5" t="inlineStr">
        <is>
          <t>Statut du scénario</t>
        </is>
      </c>
      <c r="D5" s="5" t="inlineStr">
        <is>
          <t>Date de création</t>
        </is>
      </c>
      <c r="F5" s="56" t="inlineStr">
        <is>
          <t>Modules couverts par ces tests</t>
        </is>
      </c>
      <c r="G5" s="55" t="n"/>
    </row>
    <row r="6">
      <c r="A6" s="4" t="inlineStr">
        <is>
          <t>SC-B</t>
        </is>
      </c>
      <c r="B6" s="4" t="inlineStr">
        <is>
          <t>CRM.ContratValid.ÉchecCrédit</t>
        </is>
      </c>
      <c r="C6" s="4" t="inlineStr">
        <is>
          <t>En rédaction</t>
        </is>
      </c>
      <c r="D6" s="18" t="n">
        <v>45778</v>
      </c>
      <c r="F6" s="37" t="inlineStr">
        <is>
          <t>Module CRM</t>
        </is>
      </c>
      <c r="G6" s="55" t="n"/>
    </row>
    <row r="7">
      <c r="F7" s="37" t="inlineStr">
        <is>
          <t>Module RabbitMQ</t>
        </is>
      </c>
      <c r="G7" s="55" t="n"/>
    </row>
    <row r="8">
      <c r="B8" s="2" t="inlineStr">
        <is>
          <t>Représentant(s) Compagnie</t>
        </is>
      </c>
      <c r="C8" s="2" t="inlineStr">
        <is>
          <t>Représentant(s) Client</t>
        </is>
      </c>
      <c r="D8" s="2" t="inlineStr">
        <is>
          <t>Date d'exécution des tests</t>
        </is>
      </c>
      <c r="F8" s="51" t="n"/>
      <c r="G8" s="55" t="n"/>
    </row>
    <row r="9">
      <c r="B9" s="3" t="inlineStr"/>
      <c r="C9" s="3" t="inlineStr"/>
      <c r="D9" s="19" t="inlineStr"/>
      <c r="F9" s="51" t="n"/>
      <c r="G9" s="55" t="n"/>
    </row>
    <row r="10">
      <c r="B10" s="3" t="n"/>
      <c r="C10" s="3" t="n"/>
      <c r="D10" s="3" t="n"/>
    </row>
    <row r="11">
      <c r="B11" s="3" t="n"/>
      <c r="C11" s="3" t="n"/>
      <c r="D11" s="3" t="n"/>
    </row>
    <row r="13">
      <c r="B13" s="46" t="inlineStr">
        <is>
          <t>Mise en contexte du scénario</t>
        </is>
      </c>
      <c r="C13" s="54" t="n"/>
      <c r="D13" s="55" t="n"/>
      <c r="F13" s="46" t="inlineStr">
        <is>
          <t>Préconditions à respecter</t>
        </is>
      </c>
      <c r="G13" s="55" t="n"/>
    </row>
    <row r="14" ht="174" customHeight="1">
      <c r="B14" s="47" t="inlineStr">
        <is>
          <t>En tant que système CRM
Lorsque je reçois un message ContratValid sur la file RabbitMQ pour un client insolvable,
Alors :
  - La validation du crédit échoue
  - Le contrat est automatiquement rejeté
  - Aucun message n'est envoyé au Ceduler
  - L'échec est journalisé dans la file logs</t>
        </is>
      </c>
      <c r="C14" s="54" t="n"/>
      <c r="D14" s="55" t="n"/>
      <c r="F14" s="47" t="inlineStr">
        <is>
          <t>Le service CRM doit être démarré et connecté à RabbitMQ
Un client insolvable (C2) doit exister dans le CrmRepository mock (crédit insuffisant ou négatif)
Un contrat avec des dates valides doit exister pour C2
La file RabbitMQ "contrats" doit être accessible
Le mouchard local doit être actif
La file "logs" doit être configurée</t>
        </is>
      </c>
      <c r="G14" s="55" t="n"/>
    </row>
    <row r="15">
      <c r="B15" s="7" t="n"/>
      <c r="C15" s="7" t="n"/>
      <c r="D15" s="7" t="n"/>
    </row>
    <row r="16">
      <c r="B16" s="8" t="n"/>
      <c r="C16" s="8" t="n"/>
      <c r="D16" s="8" t="n"/>
    </row>
    <row r="17" ht="25.8" customHeight="1">
      <c r="A17" s="53" t="inlineStr">
        <is>
          <t>Liste des tests d'acceptation</t>
        </is>
      </c>
      <c r="B17" s="54" t="n"/>
      <c r="C17" s="54" t="n"/>
      <c r="D17" s="54" t="n"/>
      <c r="E17" s="54" t="n"/>
      <c r="F17" s="54" t="n"/>
      <c r="G17" s="55" t="n"/>
    </row>
    <row r="18" ht="15" customHeight="1" thickBot="1">
      <c r="A18" s="11" t="inlineStr">
        <is>
          <t>No du test</t>
        </is>
      </c>
      <c r="B18" s="11" t="inlineStr">
        <is>
          <t>Description du test</t>
        </is>
      </c>
      <c r="C18" s="11" t="inlineStr">
        <is>
          <t>Statut du test</t>
        </is>
      </c>
      <c r="D18" s="11" t="inlineStr">
        <is>
          <t>No de l'étape</t>
        </is>
      </c>
      <c r="E18" s="11" t="inlineStr">
        <is>
          <t>Marche à suivre (Étape)</t>
        </is>
      </c>
      <c r="F18" s="11" t="inlineStr">
        <is>
          <t>Résultat attendu</t>
        </is>
      </c>
      <c r="G18" s="11" t="inlineStr">
        <is>
          <t>Résultat obtenu</t>
        </is>
      </c>
    </row>
    <row r="19" ht="43.2" customHeight="1">
      <c r="A19" s="57">
        <f>$A$6&amp;".1"</f>
        <v/>
      </c>
      <c r="B19" s="58" t="inlineStr">
        <is>
          <t>Le système reçoit et désérialise le message ContratValid pour un client insolvable</t>
        </is>
      </c>
      <c r="C19" s="32" t="inlineStr">
        <is>
          <t>Non exécuté</t>
        </is>
      </c>
      <c r="D19" s="12">
        <f>A19&amp;".1"</f>
        <v/>
      </c>
      <c r="E19" s="20" t="inlineStr">
        <is>
          <t>Publier un message RMQEnveloppe de type ContratValid sur la file RabbitMQ pour le client C2 (insolvable)</t>
        </is>
      </c>
      <c r="F19" s="20" t="inlineStr">
        <is>
          <t>Le système CRM reçoit et désérialise le message sans erreur. L'objet RMQEnveloppe est correctement instancié.</t>
        </is>
      </c>
      <c r="G19" s="13" t="inlineStr"/>
    </row>
    <row r="20" ht="29.4" customHeight="1" thickBot="1">
      <c r="A20" s="59" t="n"/>
      <c r="B20" s="60" t="n"/>
      <c r="C20" s="61" t="n"/>
      <c r="D20" s="3">
        <f>LEFT(D19,LEN(D19)-1)&amp; (RIGHT(D19,1) + 1)</f>
        <v/>
      </c>
      <c r="E20" s="3" t="inlineStr">
        <is>
          <t>Observer le début du traitement dans les logs du système</t>
        </is>
      </c>
      <c r="F20" s="4" t="inlineStr">
        <is>
          <t>Le log indique la réception du message pour C2 et le début de la procédure de validation.</t>
        </is>
      </c>
      <c r="G20" s="14" t="inlineStr"/>
    </row>
    <row r="21" ht="15" customHeight="1" thickBot="1">
      <c r="A21" s="62" t="n"/>
      <c r="B21" s="63" t="n"/>
      <c r="C21" s="17" t="inlineStr">
        <is>
          <t>Commentaires:</t>
        </is>
      </c>
      <c r="D21" s="64" t="n"/>
      <c r="E21" s="65" t="n"/>
      <c r="F21" s="65" t="n"/>
      <c r="G21" s="66" t="n"/>
    </row>
    <row r="22" ht="64.2" customHeight="1">
      <c r="A22" s="57">
        <f>$A$6&amp;"."&amp; (RIGHT(A19,1) + 1)</f>
        <v/>
      </c>
      <c r="B22" s="58" t="inlineStr">
        <is>
          <t>La validation du crédit échoue et déclenche un rejet automatique</t>
        </is>
      </c>
      <c r="C22" s="32" t="inlineStr">
        <is>
          <t>Non exécuté</t>
        </is>
      </c>
      <c r="D22" s="12">
        <f>A22&amp;".1"</f>
        <v/>
      </c>
      <c r="E22" s="12" t="inlineStr">
        <is>
          <t>Le système appelle la validation des dates du contrat de C2</t>
        </is>
      </c>
      <c r="F22" s="20" t="inlineStr">
        <is>
          <t>Les dates du contrat de C2 sont valides. La vérification des dates retourne OK.</t>
        </is>
      </c>
      <c r="G22" s="13" t="inlineStr"/>
    </row>
    <row r="23" ht="46.2" customHeight="1">
      <c r="A23" s="59" t="n"/>
      <c r="B23" s="60" t="n"/>
      <c r="C23" s="61" t="n"/>
      <c r="D23" s="3">
        <f>LEFT(D22,LEN(D22)-1)&amp; (RIGHT(D22,1) + 1)</f>
        <v/>
      </c>
      <c r="E23" s="4" t="inlineStr">
        <is>
          <t>Le système vérifie le crédit disponible du client C2 via le CrmRepository mock</t>
        </is>
      </c>
      <c r="F23" s="4" t="inlineStr">
        <is>
          <t>Le crédit de C2 est insuffisant. La vérification du crédit retourne ÉCHEC.</t>
        </is>
      </c>
      <c r="G23" s="14" t="inlineStr"/>
    </row>
    <row r="24" ht="33.6" customHeight="1">
      <c r="A24" s="59" t="n"/>
      <c r="B24" s="60" t="n"/>
      <c r="C24" s="61" t="n"/>
      <c r="D24" s="3">
        <f>LEFT(D23,LEN(D23)-1)&amp; (RIGHT(D23,1) + 1)</f>
        <v/>
      </c>
      <c r="E24" s="4" t="inlineStr">
        <is>
          <t>Observer le statut de traitement dans les logs du système</t>
        </is>
      </c>
      <c r="F24" s="4" t="inlineStr">
        <is>
          <t>Le log indique "ContratValid – Rejet : Crédit insuffisant" pour C2. Le contrat est marqué Rejeté.</t>
        </is>
      </c>
      <c r="G24" s="16" t="inlineStr"/>
    </row>
    <row r="25" ht="54" customHeight="1">
      <c r="A25" s="59" t="n"/>
      <c r="B25" s="60" t="n"/>
      <c r="C25" s="61" t="n"/>
      <c r="D25" s="3">
        <f>LEFT(D24,LEN(D24)-1)&amp; (RIGHT(D24,1) + 1)</f>
        <v/>
      </c>
      <c r="E25" s="4" t="inlineStr">
        <is>
          <t>Vérifier qu'aucun message n'est envoyé sur la file Ceduler</t>
        </is>
      </c>
      <c r="F25" s="25" t="inlineStr">
        <is>
          <t>Le mouchard local ne reçoit aucun message sur la file Ceduler. Zéro message transmis.</t>
        </is>
      </c>
      <c r="G25" s="16" t="inlineStr"/>
    </row>
    <row r="26" ht="15" customHeight="1" thickBot="1">
      <c r="A26" s="59" t="n"/>
      <c r="B26" s="60" t="n"/>
      <c r="C26" s="61" t="n"/>
      <c r="D26" s="3">
        <f>LEFT(D25,LEN(D25)-1)&amp; (RIGHT(D25,1) + 1)</f>
        <v/>
      </c>
      <c r="E26" s="15" t="inlineStr"/>
      <c r="F26" s="15" t="inlineStr"/>
      <c r="G26" s="16" t="inlineStr"/>
    </row>
    <row r="27" ht="15" customHeight="1" thickBot="1">
      <c r="A27" s="62" t="n"/>
      <c r="B27" s="63" t="n"/>
      <c r="C27" s="17" t="inlineStr">
        <is>
          <t>Commentaires:</t>
        </is>
      </c>
      <c r="D27" s="64" t="n"/>
      <c r="E27" s="65" t="n"/>
      <c r="F27" s="65" t="n"/>
      <c r="G27" s="66" t="n"/>
    </row>
    <row r="28">
      <c r="A28" s="57">
        <f>$A$6&amp;"."&amp; (RIGHT(A22,1) + 1)</f>
        <v/>
      </c>
      <c r="B28" s="67" t="inlineStr">
        <is>
          <t>L'échec est correctement journalisé et le système reste stable</t>
        </is>
      </c>
      <c r="C28" s="32" t="inlineStr">
        <is>
          <t>Non exécuté</t>
        </is>
      </c>
      <c r="D28" s="12">
        <f>A28&amp;".1"</f>
        <v/>
      </c>
      <c r="E28" s="12" t="inlineStr">
        <is>
          <t>Vérifier la présence d'un enregistrement de rejet dans la file distante "logs"</t>
        </is>
      </c>
      <c r="F28" s="12" t="inlineStr">
        <is>
          <t>Un log de rejet est présent avec le motif "Crédit insuffisant" et l'identifiant du client C2.</t>
        </is>
      </c>
      <c r="G28" s="13" t="inlineStr"/>
    </row>
    <row r="29">
      <c r="A29" s="59" t="n"/>
      <c r="B29" s="60" t="n"/>
      <c r="C29" s="61" t="n"/>
      <c r="D29" s="3">
        <f>LEFT(D28,LEN(D28)-1)&amp; (RIGHT(D28,1) + 1)</f>
        <v/>
      </c>
      <c r="E29" s="3" t="inlineStr">
        <is>
          <t>Vérifier que le système reste stable après le rejet (aucun crash, aucune exception non gérée)</t>
        </is>
      </c>
      <c r="F29" s="3" t="inlineStr">
        <is>
          <t>Le système continue de fonctionner normalement et est prêt à traiter de nouveaux messages RabbitMQ.</t>
        </is>
      </c>
      <c r="G29" s="14" t="inlineStr"/>
    </row>
    <row r="30" ht="15" customHeight="1" thickBot="1">
      <c r="A30" s="59" t="n"/>
      <c r="B30" s="60" t="n"/>
      <c r="C30" s="61" t="n"/>
      <c r="D30" s="3">
        <f>LEFT(D29,LEN(D29)-1)&amp; (RIGHT(D29,1) + 1)</f>
        <v/>
      </c>
      <c r="E30" s="15" t="inlineStr"/>
      <c r="F30" s="15" t="inlineStr"/>
      <c r="G30" s="16" t="inlineStr"/>
    </row>
    <row r="31" ht="15" customHeight="1" thickBot="1">
      <c r="A31" s="62" t="n"/>
      <c r="B31" s="63" t="n"/>
      <c r="C31" s="17" t="inlineStr">
        <is>
          <t>Commentaires:</t>
        </is>
      </c>
      <c r="D31" s="64" t="n"/>
      <c r="E31" s="65" t="n"/>
      <c r="F31" s="65" t="n"/>
      <c r="G31" s="66" t="n"/>
    </row>
    <row r="32">
      <c r="A32" s="57">
        <f>$A$6&amp;"."&amp; (RIGHT(A28,1) + 1)</f>
        <v/>
      </c>
      <c r="B32" s="67" t="inlineStr"/>
      <c r="C32" s="32" t="inlineStr">
        <is>
          <t>Non exécuté</t>
        </is>
      </c>
      <c r="D32" s="12">
        <f>A32&amp;".1"</f>
        <v/>
      </c>
      <c r="E32" s="12" t="inlineStr"/>
      <c r="F32" s="12" t="inlineStr"/>
      <c r="G32" s="13" t="inlineStr"/>
    </row>
    <row r="33">
      <c r="A33" s="59" t="n"/>
      <c r="B33" s="60" t="n"/>
      <c r="C33" s="61" t="n"/>
      <c r="D33" s="3">
        <f>LEFT(D32,LEN(D32)-1)&amp; (RIGHT(D32,1) + 1)</f>
        <v/>
      </c>
      <c r="E33" s="3" t="inlineStr"/>
      <c r="F33" s="3" t="inlineStr"/>
      <c r="G33" s="14" t="inlineStr"/>
    </row>
    <row r="34" ht="15" customHeight="1" thickBot="1">
      <c r="A34" s="59" t="n"/>
      <c r="B34" s="60" t="n"/>
      <c r="C34" s="61" t="n"/>
      <c r="D34" s="3">
        <f>LEFT(D33,LEN(D33)-1)&amp; (RIGHT(D33,1) + 1)</f>
        <v/>
      </c>
      <c r="E34" s="15" t="inlineStr"/>
      <c r="F34" s="15" t="inlineStr"/>
      <c r="G34" s="16" t="inlineStr"/>
    </row>
    <row r="35" ht="15" customHeight="1" thickBot="1">
      <c r="A35" s="62" t="n"/>
      <c r="B35" s="63" t="n"/>
      <c r="C35" s="17" t="inlineStr">
        <is>
          <t>Commentaires:</t>
        </is>
      </c>
      <c r="D35" s="64" t="n"/>
      <c r="E35" s="65" t="n"/>
      <c r="F35" s="65" t="n"/>
      <c r="G35" s="66" t="n"/>
    </row>
    <row r="36">
      <c r="A36" s="57">
        <f>$A$6&amp;"."&amp; (RIGHT(A32,1) + 1)</f>
        <v/>
      </c>
      <c r="B36" s="67" t="inlineStr"/>
      <c r="C36" s="32" t="inlineStr">
        <is>
          <t>Non exécuté</t>
        </is>
      </c>
      <c r="D36" s="12">
        <f>A36&amp;".1"</f>
        <v/>
      </c>
      <c r="E36" s="12" t="inlineStr"/>
      <c r="F36" s="12" t="inlineStr"/>
      <c r="G36" s="13" t="inlineStr"/>
    </row>
    <row r="37">
      <c r="A37" s="59" t="n"/>
      <c r="B37" s="60" t="n"/>
      <c r="C37" s="61" t="n"/>
      <c r="D37" s="3">
        <f>LEFT(D36,LEN(D36)-1)&amp; (RIGHT(D36,1) + 1)</f>
        <v/>
      </c>
      <c r="E37" s="3" t="inlineStr"/>
      <c r="F37" s="3" t="inlineStr"/>
      <c r="G37" s="14" t="inlineStr"/>
    </row>
    <row r="38" ht="15" customHeight="1" thickBot="1">
      <c r="A38" s="59" t="n"/>
      <c r="B38" s="60" t="n"/>
      <c r="C38" s="61" t="n"/>
      <c r="D38" s="3">
        <f>LEFT(D37,LEN(D37)-1)&amp; (RIGHT(D37,1) + 1)</f>
        <v/>
      </c>
      <c r="E38" s="15" t="inlineStr"/>
      <c r="F38" s="15" t="inlineStr"/>
      <c r="G38" s="16" t="inlineStr"/>
    </row>
    <row r="39" ht="15" customHeight="1" thickBot="1">
      <c r="A39" s="62" t="n"/>
      <c r="B39" s="63" t="n"/>
      <c r="C39" s="17" t="inlineStr">
        <is>
          <t>Commentaires:</t>
        </is>
      </c>
      <c r="D39" s="64" t="n"/>
      <c r="E39" s="65" t="n"/>
      <c r="F39" s="65" t="n"/>
      <c r="G39" s="66" t="n"/>
    </row>
    <row r="40">
      <c r="A40" s="57">
        <f>$A$6&amp;"."&amp; (RIGHT(A36,1) + 1)</f>
        <v/>
      </c>
      <c r="B40" s="67" t="inlineStr"/>
      <c r="C40" s="32" t="inlineStr">
        <is>
          <t>Non exécuté</t>
        </is>
      </c>
      <c r="D40" s="12">
        <f>A40&amp;".1"</f>
        <v/>
      </c>
      <c r="E40" s="12" t="inlineStr"/>
      <c r="F40" s="12" t="inlineStr"/>
      <c r="G40" s="13" t="inlineStr"/>
    </row>
    <row r="41">
      <c r="A41" s="59" t="n"/>
      <c r="B41" s="60" t="n"/>
      <c r="C41" s="61" t="n"/>
      <c r="D41" s="3">
        <f>LEFT(D40,LEN(D40)-1)&amp; (RIGHT(D40,1) + 1)</f>
        <v/>
      </c>
      <c r="E41" s="3" t="inlineStr"/>
      <c r="F41" s="3" t="inlineStr"/>
      <c r="G41" s="14" t="inlineStr"/>
    </row>
    <row r="42" ht="15" customHeight="1" thickBot="1">
      <c r="A42" s="59" t="n"/>
      <c r="B42" s="60" t="n"/>
      <c r="C42" s="61" t="n"/>
      <c r="D42" s="3">
        <f>LEFT(D41,LEN(D41)-1)&amp; (RIGHT(D41,1) + 1)</f>
        <v/>
      </c>
      <c r="E42" s="15" t="inlineStr"/>
      <c r="F42" s="15" t="inlineStr"/>
      <c r="G42" s="16" t="inlineStr"/>
    </row>
    <row r="43" ht="15" customHeight="1" thickBot="1">
      <c r="A43" s="62" t="n"/>
      <c r="B43" s="63" t="n"/>
      <c r="C43" s="17" t="inlineStr">
        <is>
          <t>Commentaires:</t>
        </is>
      </c>
      <c r="D43" s="64" t="n"/>
      <c r="E43" s="65" t="n"/>
      <c r="F43" s="65" t="n"/>
      <c r="G43" s="66" t="n"/>
    </row>
    <row r="44">
      <c r="A44" s="57">
        <f>$A$6&amp;"."&amp; (RIGHT(A40,1) + 1)</f>
        <v/>
      </c>
      <c r="B44" s="67" t="inlineStr"/>
      <c r="C44" s="32" t="inlineStr">
        <is>
          <t>Non exécuté</t>
        </is>
      </c>
      <c r="D44" s="12">
        <f>A44&amp;".1"</f>
        <v/>
      </c>
      <c r="E44" s="12" t="inlineStr"/>
      <c r="F44" s="12" t="inlineStr"/>
      <c r="G44" s="13" t="inlineStr"/>
    </row>
    <row r="45">
      <c r="A45" s="59" t="n"/>
      <c r="B45" s="60" t="n"/>
      <c r="C45" s="61" t="n"/>
      <c r="D45" s="3">
        <f>LEFT(D44,LEN(D44)-1)&amp; (RIGHT(D44,1) + 1)</f>
        <v/>
      </c>
      <c r="E45" s="3" t="inlineStr"/>
      <c r="F45" s="3" t="inlineStr"/>
      <c r="G45" s="14" t="inlineStr"/>
    </row>
    <row r="46" ht="15" customHeight="1" thickBot="1">
      <c r="A46" s="59" t="n"/>
      <c r="B46" s="60" t="n"/>
      <c r="C46" s="61" t="n"/>
      <c r="D46" s="3">
        <f>LEFT(D45,LEN(D45)-1)&amp; (RIGHT(D45,1) + 1)</f>
        <v/>
      </c>
      <c r="E46" s="15" t="inlineStr"/>
      <c r="F46" s="15" t="inlineStr"/>
      <c r="G46" s="16" t="inlineStr"/>
    </row>
    <row r="47" ht="15" customHeight="1" thickBot="1">
      <c r="A47" s="62" t="n"/>
      <c r="B47" s="63" t="n"/>
      <c r="C47" s="17" t="inlineStr">
        <is>
          <t>Commentaires:</t>
        </is>
      </c>
      <c r="D47" s="64" t="n"/>
      <c r="E47" s="65" t="n"/>
      <c r="F47" s="65" t="n"/>
      <c r="G47" s="66" t="n"/>
    </row>
    <row r="48">
      <c r="A48" s="57">
        <f>$A$6&amp;"."&amp; (RIGHT(A44,1) + 1)</f>
        <v/>
      </c>
      <c r="B48" s="67" t="inlineStr"/>
      <c r="C48" s="32" t="inlineStr">
        <is>
          <t>Non exécuté</t>
        </is>
      </c>
      <c r="D48" s="12">
        <f>A48&amp;".1"</f>
        <v/>
      </c>
      <c r="E48" s="12" t="inlineStr"/>
      <c r="F48" s="12" t="inlineStr"/>
      <c r="G48" s="13" t="inlineStr"/>
    </row>
    <row r="49">
      <c r="A49" s="59" t="n"/>
      <c r="B49" s="60" t="n"/>
      <c r="C49" s="61" t="n"/>
      <c r="D49" s="3">
        <f>LEFT(D48,LEN(D48)-1)&amp; (RIGHT(D48,1) + 1)</f>
        <v/>
      </c>
      <c r="E49" s="3" t="inlineStr"/>
      <c r="F49" s="3" t="inlineStr"/>
      <c r="G49" s="14" t="inlineStr"/>
    </row>
    <row r="50" ht="15" customHeight="1" thickBot="1">
      <c r="A50" s="59" t="n"/>
      <c r="B50" s="60" t="n"/>
      <c r="C50" s="61" t="n"/>
      <c r="D50" s="3">
        <f>LEFT(D49,LEN(D49)-1)&amp; (RIGHT(D49,1) + 1)</f>
        <v/>
      </c>
      <c r="E50" s="15" t="inlineStr"/>
      <c r="F50" s="15" t="inlineStr"/>
      <c r="G50" s="16" t="inlineStr"/>
    </row>
    <row r="51" ht="15" customHeight="1" thickBot="1">
      <c r="A51" s="62" t="n"/>
      <c r="B51" s="63" t="n"/>
      <c r="C51" s="17" t="inlineStr">
        <is>
          <t>Commentaires:</t>
        </is>
      </c>
      <c r="D51" s="64" t="n"/>
      <c r="E51" s="65" t="n"/>
      <c r="F51" s="65" t="n"/>
      <c r="G51" s="66" t="n"/>
    </row>
    <row r="52">
      <c r="A52" s="57">
        <f>$A$6&amp;"."&amp; (RIGHT(A48,1) + 1)</f>
        <v/>
      </c>
      <c r="B52" s="67" t="inlineStr"/>
      <c r="C52" s="32" t="inlineStr">
        <is>
          <t>Non exécuté</t>
        </is>
      </c>
      <c r="D52" s="12">
        <f>A52&amp;".1"</f>
        <v/>
      </c>
      <c r="E52" s="12" t="inlineStr"/>
      <c r="F52" s="12" t="inlineStr"/>
      <c r="G52" s="13" t="inlineStr"/>
    </row>
    <row r="53">
      <c r="A53" s="59" t="n"/>
      <c r="B53" s="60" t="n"/>
      <c r="C53" s="61" t="n"/>
      <c r="D53" s="3">
        <f>LEFT(D52,LEN(D52)-1)&amp; (RIGHT(D52,1) + 1)</f>
        <v/>
      </c>
      <c r="E53" s="3" t="inlineStr"/>
      <c r="F53" s="3" t="inlineStr"/>
      <c r="G53" s="14" t="inlineStr"/>
    </row>
    <row r="54" ht="15" customHeight="1" thickBot="1">
      <c r="A54" s="59" t="n"/>
      <c r="B54" s="60" t="n"/>
      <c r="C54" s="61" t="n"/>
      <c r="D54" s="3">
        <f>LEFT(D53,LEN(D53)-1)&amp; (RIGHT(D53,1) + 1)</f>
        <v/>
      </c>
      <c r="E54" s="15" t="inlineStr"/>
      <c r="F54" s="15" t="inlineStr"/>
      <c r="G54" s="16" t="inlineStr"/>
    </row>
    <row r="55" ht="15" customHeight="1" thickBot="1">
      <c r="A55" s="62" t="n"/>
      <c r="B55" s="63" t="n"/>
      <c r="C55" s="17" t="inlineStr">
        <is>
          <t>Commentaires:</t>
        </is>
      </c>
      <c r="D55" s="64" t="n"/>
      <c r="E55" s="65" t="n"/>
      <c r="F55" s="65" t="n"/>
      <c r="G55" s="66" t="n"/>
    </row>
  </sheetData>
  <mergeCells count="47">
    <mergeCell ref="A36:A39"/>
    <mergeCell ref="A48:A51"/>
    <mergeCell ref="B14:D14"/>
    <mergeCell ref="A17:G17"/>
    <mergeCell ref="B22:B27"/>
    <mergeCell ref="D39:G39"/>
    <mergeCell ref="C48:C50"/>
    <mergeCell ref="B13:D13"/>
    <mergeCell ref="F6:G6"/>
    <mergeCell ref="D55:G55"/>
    <mergeCell ref="C32:C34"/>
    <mergeCell ref="D51:G51"/>
    <mergeCell ref="F7:G7"/>
    <mergeCell ref="B52:B55"/>
    <mergeCell ref="D35:G35"/>
    <mergeCell ref="F5:G5"/>
    <mergeCell ref="A19:A21"/>
    <mergeCell ref="C28:C30"/>
    <mergeCell ref="B48:B51"/>
    <mergeCell ref="B28:B31"/>
    <mergeCell ref="F8:G8"/>
    <mergeCell ref="A32:A35"/>
    <mergeCell ref="B44:B47"/>
    <mergeCell ref="D31:G31"/>
    <mergeCell ref="B40:B43"/>
    <mergeCell ref="D21:G21"/>
    <mergeCell ref="F13:G13"/>
    <mergeCell ref="D27:G27"/>
    <mergeCell ref="F9:G9"/>
    <mergeCell ref="C19:C20"/>
    <mergeCell ref="C44:C46"/>
    <mergeCell ref="B36:B39"/>
    <mergeCell ref="C40:C42"/>
    <mergeCell ref="A22:A27"/>
    <mergeCell ref="A44:A47"/>
    <mergeCell ref="A3:G3"/>
    <mergeCell ref="D47:G47"/>
    <mergeCell ref="A28:A31"/>
    <mergeCell ref="C52:C54"/>
    <mergeCell ref="F14:G14"/>
    <mergeCell ref="D43:G43"/>
    <mergeCell ref="B19:B21"/>
    <mergeCell ref="C22:C26"/>
    <mergeCell ref="B32:B35"/>
    <mergeCell ref="C36:C38"/>
    <mergeCell ref="A40:A43"/>
    <mergeCell ref="A52:A55"/>
  </mergeCells>
  <pageMargins left="0.2362204724409449" right="0.2362204724409449" top="0.7480314960629921" bottom="0.7480314960629921" header="0.3149606299212598" footer="0.3149606299212598"/>
  <pageSetup orientation="landscape" scale="53" fitToHeight="0"/>
</worksheet>
</file>

<file path=xl/worksheets/sheet4.xml><?xml version="1.0" encoding="utf-8"?>
<worksheet xmlns="http://schemas.openxmlformats.org/spreadsheetml/2006/main">
  <sheetPr>
    <outlinePr summaryBelow="1" summaryRight="1"/>
    <pageSetUpPr fitToPage="1"/>
  </sheetPr>
  <dimension ref="A1:G55"/>
  <sheetViews>
    <sheetView workbookViewId="0">
      <selection activeCell="A1" sqref="A1"/>
    </sheetView>
  </sheetViews>
  <sheetFormatPr baseColWidth="10" defaultRowHeight="14.4"/>
  <cols>
    <col width="17.5546875" customWidth="1" min="1" max="1"/>
    <col width="40" customWidth="1" min="2" max="2"/>
    <col width="30" customWidth="1" min="3" max="3"/>
    <col width="25" customWidth="1" min="4" max="4"/>
    <col width="50" customWidth="1" min="5" max="5"/>
    <col width="42.88671875" customWidth="1" min="6" max="6"/>
    <col width="43.88671875" customWidth="1" min="7" max="7"/>
  </cols>
  <sheetData>
    <row r="1" ht="28.8" customHeight="1">
      <c r="A1" s="52" t="n">
        <v>45778</v>
      </c>
      <c r="B1" s="18" t="n">
        <v>46044</v>
      </c>
      <c r="C1" s="6" t="inlineStr">
        <is>
          <t>Version</t>
        </is>
      </c>
      <c r="D1" s="4" t="n">
        <v>1</v>
      </c>
    </row>
    <row r="3" ht="25.8" customHeight="1">
      <c r="A3" s="53" t="inlineStr">
        <is>
          <t>Détails du scénario - Module CRM : Simulation Cycle Complet (Touche S)</t>
        </is>
      </c>
      <c r="B3" s="54" t="n"/>
      <c r="C3" s="54" t="n"/>
      <c r="D3" s="54" t="n"/>
      <c r="E3" s="54" t="n"/>
      <c r="F3" s="54" t="n"/>
      <c r="G3" s="55" t="n"/>
    </row>
    <row r="4" ht="9" customHeight="1">
      <c r="A4" s="9" t="n"/>
      <c r="B4" s="9" t="n"/>
      <c r="C4" s="9" t="n"/>
      <c r="D4" s="9" t="n"/>
      <c r="E4" s="9" t="n"/>
      <c r="F4" s="9" t="n"/>
      <c r="G4" s="9" t="n"/>
    </row>
    <row r="5" ht="31.8" customHeight="1">
      <c r="A5" s="5" t="inlineStr">
        <is>
          <t>Numéro du scénario</t>
        </is>
      </c>
      <c r="B5" s="5" t="inlineStr">
        <is>
          <t>Nom du scénario</t>
        </is>
      </c>
      <c r="C5" s="5" t="inlineStr">
        <is>
          <t>Statut du scénario</t>
        </is>
      </c>
      <c r="D5" s="5" t="inlineStr">
        <is>
          <t>Date de création</t>
        </is>
      </c>
      <c r="F5" s="56" t="inlineStr">
        <is>
          <t>Modules couverts par ces tests</t>
        </is>
      </c>
      <c r="G5" s="55" t="n"/>
    </row>
    <row r="6">
      <c r="A6" s="4" t="inlineStr">
        <is>
          <t>SC-C</t>
        </is>
      </c>
      <c r="B6" s="4" t="inlineStr">
        <is>
          <t>CRM.Simulation.CycleComplet</t>
        </is>
      </c>
      <c r="C6" s="4" t="inlineStr">
        <is>
          <t>En rédaction</t>
        </is>
      </c>
      <c r="D6" s="18" t="n">
        <v>45778</v>
      </c>
      <c r="F6" s="37" t="inlineStr">
        <is>
          <t>Module CRM</t>
        </is>
      </c>
      <c r="G6" s="55" t="n"/>
    </row>
    <row r="7">
      <c r="F7" s="37" t="inlineStr">
        <is>
          <t>Module Simulation</t>
        </is>
      </c>
      <c r="G7" s="55" t="n"/>
    </row>
    <row r="8">
      <c r="B8" s="2" t="inlineStr">
        <is>
          <t>Représentant(s) Compagnie</t>
        </is>
      </c>
      <c r="C8" s="2" t="inlineStr">
        <is>
          <t>Représentant(s) Client</t>
        </is>
      </c>
      <c r="D8" s="2" t="inlineStr">
        <is>
          <t>Date d'exécution des tests</t>
        </is>
      </c>
      <c r="F8" s="51" t="inlineStr">
        <is>
          <t>Module RabbitMQ (local)</t>
        </is>
      </c>
      <c r="G8" s="55" t="n"/>
    </row>
    <row r="9">
      <c r="B9" s="3" t="inlineStr"/>
      <c r="C9" s="3" t="inlineStr"/>
      <c r="D9" s="19" t="inlineStr"/>
      <c r="F9" s="51" t="n"/>
      <c r="G9" s="55" t="n"/>
    </row>
    <row r="10">
      <c r="B10" s="3" t="n"/>
      <c r="C10" s="3" t="n"/>
      <c r="D10" s="3" t="n"/>
    </row>
    <row r="11">
      <c r="B11" s="3" t="n"/>
      <c r="C11" s="3" t="n"/>
      <c r="D11" s="3" t="n"/>
    </row>
    <row r="13">
      <c r="B13" s="46" t="inlineStr">
        <is>
          <t>Mise en contexte du scénario</t>
        </is>
      </c>
      <c r="C13" s="54" t="n"/>
      <c r="D13" s="55" t="n"/>
      <c r="F13" s="46" t="inlineStr">
        <is>
          <t>Préconditions à respecter</t>
        </is>
      </c>
      <c r="G13" s="55" t="n"/>
    </row>
    <row r="14" ht="174" customHeight="1">
      <c r="B14" s="47" t="inlineStr">
        <is>
          <t>En tant qu'opérateur
Lorsque j'appuie sur la touche S dans l'interface du module CRM,
Alors :
  - Un cycle complet est simulé sans partenaire externe
  - Un message ContratValid fictif est généré et traité en interne
  - Le résultat (succès ou rejet) est affiché et journalisé
  - Aucune connexion à un partenaire RabbitMQ externe n'est requise</t>
        </is>
      </c>
      <c r="C14" s="54" t="n"/>
      <c r="D14" s="55" t="n"/>
      <c r="F14" s="47" t="inlineStr">
        <is>
          <t>Le service CRM doit être démarré en mode simulation
Le CrmRepository mock doit contenir au moins un client solvable (C1) et un client insolvable (C2)
L'interface clavier doit être active et en écoute
La touche S doit être mappée à la fonction de simulation
Les files RabbitMQ internes (mouchard local) doivent être configurées</t>
        </is>
      </c>
      <c r="G14" s="55" t="n"/>
    </row>
    <row r="15">
      <c r="B15" s="7" t="n"/>
      <c r="C15" s="7" t="n"/>
      <c r="D15" s="7" t="n"/>
    </row>
    <row r="16">
      <c r="B16" s="8" t="n"/>
      <c r="C16" s="8" t="n"/>
      <c r="D16" s="8" t="n"/>
    </row>
    <row r="17" ht="25.8" customHeight="1">
      <c r="A17" s="53" t="inlineStr">
        <is>
          <t>Liste des tests d'acceptation</t>
        </is>
      </c>
      <c r="B17" s="54" t="n"/>
      <c r="C17" s="54" t="n"/>
      <c r="D17" s="54" t="n"/>
      <c r="E17" s="54" t="n"/>
      <c r="F17" s="54" t="n"/>
      <c r="G17" s="55" t="n"/>
    </row>
    <row r="18" ht="15" customHeight="1" thickBot="1">
      <c r="A18" s="11" t="inlineStr">
        <is>
          <t>No du test</t>
        </is>
      </c>
      <c r="B18" s="11" t="inlineStr">
        <is>
          <t>Description du test</t>
        </is>
      </c>
      <c r="C18" s="11" t="inlineStr">
        <is>
          <t>Statut du test</t>
        </is>
      </c>
      <c r="D18" s="11" t="inlineStr">
        <is>
          <t>No de l'étape</t>
        </is>
      </c>
      <c r="E18" s="11" t="inlineStr">
        <is>
          <t>Marche à suivre (Étape)</t>
        </is>
      </c>
      <c r="F18" s="11" t="inlineStr">
        <is>
          <t>Résultat attendu</t>
        </is>
      </c>
      <c r="G18" s="11" t="inlineStr">
        <is>
          <t>Résultat obtenu</t>
        </is>
      </c>
    </row>
    <row r="19" ht="43.2" customHeight="1">
      <c r="A19" s="57">
        <f>$A$6&amp;".1"</f>
        <v/>
      </c>
      <c r="B19" s="58" t="inlineStr">
        <is>
          <t>L'appui sur la touche S déclenche le cycle de simulation</t>
        </is>
      </c>
      <c r="C19" s="32" t="inlineStr">
        <is>
          <t>Non exécuté</t>
        </is>
      </c>
      <c r="D19" s="12">
        <f>A19&amp;".1"</f>
        <v/>
      </c>
      <c r="E19" s="20" t="inlineStr">
        <is>
          <t>Démarrer le module CRM en mode simulation. Vérifier que l'interface affiche le message d'attente.</t>
        </is>
      </c>
      <c r="F19" s="20" t="inlineStr">
        <is>
          <t>Le système affiche "Mode simulation actif – Appuyer sur S pour démarrer un cycle".</t>
        </is>
      </c>
      <c r="G19" s="13" t="inlineStr"/>
    </row>
    <row r="20" ht="29.4" customHeight="1" thickBot="1">
      <c r="A20" s="59" t="n"/>
      <c r="B20" s="60" t="n"/>
      <c r="C20" s="61" t="n"/>
      <c r="D20" s="3">
        <f>LEFT(D19,LEN(D19)-1)&amp; (RIGHT(D19,1) + 1)</f>
        <v/>
      </c>
      <c r="E20" s="3" t="inlineStr">
        <is>
          <t>Appuyer sur la touche S au clavier</t>
        </is>
      </c>
      <c r="F20" s="4" t="inlineStr">
        <is>
          <t>Le système génère un message ContratValid fictif et démarre le traitement. Un message "Simulation démarrée" est affiché.</t>
        </is>
      </c>
      <c r="G20" s="14" t="inlineStr"/>
    </row>
    <row r="21" ht="15" customHeight="1" thickBot="1">
      <c r="A21" s="62" t="n"/>
      <c r="B21" s="63" t="n"/>
      <c r="C21" s="17" t="inlineStr">
        <is>
          <t>Commentaires:</t>
        </is>
      </c>
      <c r="D21" s="64" t="n"/>
      <c r="E21" s="65" t="n"/>
      <c r="F21" s="65" t="n"/>
      <c r="G21" s="66" t="n"/>
    </row>
    <row r="22" ht="64.2" customHeight="1">
      <c r="A22" s="57">
        <f>$A$6&amp;"."&amp; (RIGHT(A19,1) + 1)</f>
        <v/>
      </c>
      <c r="B22" s="58" t="inlineStr">
        <is>
          <t>Le cycle simulé traite avec succès un contrat de client solvable (C1)</t>
        </is>
      </c>
      <c r="C22" s="32" t="inlineStr">
        <is>
          <t>Non exécuté</t>
        </is>
      </c>
      <c r="D22" s="12">
        <f>A22&amp;".1"</f>
        <v/>
      </c>
      <c r="E22" s="12" t="inlineStr">
        <is>
          <t>Observer le traitement interne du message fictif ContratValid pour le client C1 (solvable)</t>
        </is>
      </c>
      <c r="F22" s="20" t="inlineStr">
        <is>
          <t>Le système valide le contrat (dates OK, crédit OK) et génère un événement de confirmation interne.</t>
        </is>
      </c>
      <c r="G22" s="13" t="inlineStr"/>
    </row>
    <row r="23" ht="46.2" customHeight="1">
      <c r="A23" s="59" t="n"/>
      <c r="B23" s="60" t="n"/>
      <c r="C23" s="61" t="n"/>
      <c r="D23" s="3">
        <f>LEFT(D22,LEN(D22)-1)&amp; (RIGHT(D22,1) + 1)</f>
        <v/>
      </c>
      <c r="E23" s="4" t="inlineStr">
        <is>
          <t>Vérifier que le mouchard local reçoit le message de confirmation du Ceduler simulé</t>
        </is>
      </c>
      <c r="F23" s="4" t="inlineStr">
        <is>
          <t>Le mouchard local reçoit 1 message de type CedulerConfirmation simulé.</t>
        </is>
      </c>
      <c r="G23" s="14" t="inlineStr"/>
    </row>
    <row r="24" ht="33.6" customHeight="1">
      <c r="A24" s="59" t="n"/>
      <c r="B24" s="60" t="n"/>
      <c r="C24" s="61" t="n"/>
      <c r="D24" s="3">
        <f>LEFT(D23,LEN(D23)-1)&amp; (RIGHT(D23,1) + 1)</f>
        <v/>
      </c>
      <c r="E24" s="4" t="inlineStr">
        <is>
          <t>Vérifier que le résultat "Succès" est affiché dans l'interface et journalisé</t>
        </is>
      </c>
      <c r="F24" s="4" t="inlineStr">
        <is>
          <t>L'interface affiche "Résultat simulation : Succès". Un log avec la mention "[SIMULATION] Succès" est enregistré dans la file "logs".</t>
        </is>
      </c>
      <c r="G24" s="16" t="inlineStr"/>
    </row>
    <row r="25" ht="54" customHeight="1">
      <c r="A25" s="59" t="n"/>
      <c r="B25" s="60" t="n"/>
      <c r="C25" s="61" t="n"/>
      <c r="D25" s="3">
        <f>LEFT(D24,LEN(D24)-1)&amp; (RIGHT(D24,1) + 1)</f>
        <v/>
      </c>
      <c r="E25" s="4" t="inlineStr"/>
      <c r="F25" s="25" t="inlineStr"/>
      <c r="G25" s="16" t="inlineStr"/>
    </row>
    <row r="26" ht="15" customHeight="1" thickBot="1">
      <c r="A26" s="59" t="n"/>
      <c r="B26" s="60" t="n"/>
      <c r="C26" s="61" t="n"/>
      <c r="D26" s="3">
        <f>LEFT(D25,LEN(D25)-1)&amp; (RIGHT(D25,1) + 1)</f>
        <v/>
      </c>
      <c r="E26" s="15" t="inlineStr"/>
      <c r="F26" s="15" t="inlineStr"/>
      <c r="G26" s="16" t="inlineStr"/>
    </row>
    <row r="27" ht="15" customHeight="1" thickBot="1">
      <c r="A27" s="62" t="n"/>
      <c r="B27" s="63" t="n"/>
      <c r="C27" s="17" t="inlineStr">
        <is>
          <t>Commentaires:</t>
        </is>
      </c>
      <c r="D27" s="64" t="n"/>
      <c r="E27" s="65" t="n"/>
      <c r="F27" s="65" t="n"/>
      <c r="G27" s="66" t="n"/>
    </row>
    <row r="28">
      <c r="A28" s="57">
        <f>$A$6&amp;"."&amp; (RIGHT(A22,1) + 1)</f>
        <v/>
      </c>
      <c r="B28" s="67" t="inlineStr">
        <is>
          <t>Le cycle simulé génère un rejet pour un client insolvable (C2) sans connexion externe</t>
        </is>
      </c>
      <c r="C28" s="32" t="inlineStr">
        <is>
          <t>Non exécuté</t>
        </is>
      </c>
      <c r="D28" s="12">
        <f>A28&amp;".1"</f>
        <v/>
      </c>
      <c r="E28" s="12" t="inlineStr">
        <is>
          <t>Déclencher une nouvelle simulation ciblant le client C2 (insolvable) via la touche S ou la configuration du mode simulation</t>
        </is>
      </c>
      <c r="F28" s="12" t="inlineStr">
        <is>
          <t>Le système génère un message ContratValid fictif pour C2 et démarre le traitement.</t>
        </is>
      </c>
      <c r="G28" s="13" t="inlineStr"/>
    </row>
    <row r="29">
      <c r="A29" s="59" t="n"/>
      <c r="B29" s="60" t="n"/>
      <c r="C29" s="61" t="n"/>
      <c r="D29" s="3">
        <f>LEFT(D28,LEN(D28)-1)&amp; (RIGHT(D28,1) + 1)</f>
        <v/>
      </c>
      <c r="E29" s="3" t="inlineStr">
        <is>
          <t>Observer la détection de l'échec crédit dans le cycle simulé</t>
        </is>
      </c>
      <c r="F29" s="3" t="inlineStr">
        <is>
          <t>Le système détecte le crédit insuffisant de C2 et génère un rejet simulé. L'interface affiche "Résultat simulation : Rejet – Crédit insuffisant".</t>
        </is>
      </c>
      <c r="G29" s="14" t="inlineStr"/>
    </row>
    <row r="30" ht="15" customHeight="1" thickBot="1">
      <c r="A30" s="59" t="n"/>
      <c r="B30" s="60" t="n"/>
      <c r="C30" s="61" t="n"/>
      <c r="D30" s="3">
        <f>LEFT(D29,LEN(D29)-1)&amp; (RIGHT(D29,1) + 1)</f>
        <v/>
      </c>
      <c r="E30" s="15" t="inlineStr">
        <is>
          <t>Confirmer qu'aucune connexion réseau externe n'a été établie durant toute la simulation</t>
        </is>
      </c>
      <c r="F30" s="15" t="inlineStr">
        <is>
          <t>Les logs réseau et RabbitMQ externe ne montrent aucune tentative de connexion. La simulation est entièrement autonome.</t>
        </is>
      </c>
      <c r="G30" s="16" t="inlineStr"/>
    </row>
    <row r="31" ht="15" customHeight="1" thickBot="1">
      <c r="A31" s="62" t="n"/>
      <c r="B31" s="63" t="n"/>
      <c r="C31" s="17" t="inlineStr">
        <is>
          <t>Commentaires:</t>
        </is>
      </c>
      <c r="D31" s="64" t="n"/>
      <c r="E31" s="65" t="n"/>
      <c r="F31" s="65" t="n"/>
      <c r="G31" s="66" t="n"/>
    </row>
    <row r="32">
      <c r="A32" s="57">
        <f>$A$6&amp;"."&amp; (RIGHT(A28,1) + 1)</f>
        <v/>
      </c>
      <c r="B32" s="67" t="inlineStr"/>
      <c r="C32" s="32" t="inlineStr">
        <is>
          <t>Non exécuté</t>
        </is>
      </c>
      <c r="D32" s="12">
        <f>A32&amp;".1"</f>
        <v/>
      </c>
      <c r="E32" s="12" t="inlineStr"/>
      <c r="F32" s="12" t="inlineStr"/>
      <c r="G32" s="13" t="inlineStr"/>
    </row>
    <row r="33">
      <c r="A33" s="59" t="n"/>
      <c r="B33" s="60" t="n"/>
      <c r="C33" s="61" t="n"/>
      <c r="D33" s="3">
        <f>LEFT(D32,LEN(D32)-1)&amp; (RIGHT(D32,1) + 1)</f>
        <v/>
      </c>
      <c r="E33" s="3" t="inlineStr"/>
      <c r="F33" s="3" t="inlineStr"/>
      <c r="G33" s="14" t="inlineStr"/>
    </row>
    <row r="34" ht="15" customHeight="1" thickBot="1">
      <c r="A34" s="59" t="n"/>
      <c r="B34" s="60" t="n"/>
      <c r="C34" s="61" t="n"/>
      <c r="D34" s="3">
        <f>LEFT(D33,LEN(D33)-1)&amp; (RIGHT(D33,1) + 1)</f>
        <v/>
      </c>
      <c r="E34" s="15" t="inlineStr"/>
      <c r="F34" s="15" t="inlineStr"/>
      <c r="G34" s="16" t="inlineStr"/>
    </row>
    <row r="35" ht="15" customHeight="1" thickBot="1">
      <c r="A35" s="62" t="n"/>
      <c r="B35" s="63" t="n"/>
      <c r="C35" s="17" t="inlineStr">
        <is>
          <t>Commentaires:</t>
        </is>
      </c>
      <c r="D35" s="64" t="n"/>
      <c r="E35" s="65" t="n"/>
      <c r="F35" s="65" t="n"/>
      <c r="G35" s="66" t="n"/>
    </row>
    <row r="36">
      <c r="A36" s="57">
        <f>$A$6&amp;"."&amp; (RIGHT(A32,1) + 1)</f>
        <v/>
      </c>
      <c r="B36" s="67" t="inlineStr"/>
      <c r="C36" s="32" t="inlineStr">
        <is>
          <t>Non exécuté</t>
        </is>
      </c>
      <c r="D36" s="12">
        <f>A36&amp;".1"</f>
        <v/>
      </c>
      <c r="E36" s="12" t="inlineStr"/>
      <c r="F36" s="12" t="inlineStr"/>
      <c r="G36" s="13" t="inlineStr"/>
    </row>
    <row r="37">
      <c r="A37" s="59" t="n"/>
      <c r="B37" s="60" t="n"/>
      <c r="C37" s="61" t="n"/>
      <c r="D37" s="3">
        <f>LEFT(D36,LEN(D36)-1)&amp; (RIGHT(D36,1) + 1)</f>
        <v/>
      </c>
      <c r="E37" s="3" t="inlineStr"/>
      <c r="F37" s="3" t="inlineStr"/>
      <c r="G37" s="14" t="inlineStr"/>
    </row>
    <row r="38" ht="15" customHeight="1" thickBot="1">
      <c r="A38" s="59" t="n"/>
      <c r="B38" s="60" t="n"/>
      <c r="C38" s="61" t="n"/>
      <c r="D38" s="3">
        <f>LEFT(D37,LEN(D37)-1)&amp; (RIGHT(D37,1) + 1)</f>
        <v/>
      </c>
      <c r="E38" s="15" t="inlineStr"/>
      <c r="F38" s="15" t="inlineStr"/>
      <c r="G38" s="16" t="inlineStr"/>
    </row>
    <row r="39" ht="15" customHeight="1" thickBot="1">
      <c r="A39" s="62" t="n"/>
      <c r="B39" s="63" t="n"/>
      <c r="C39" s="17" t="inlineStr">
        <is>
          <t>Commentaires:</t>
        </is>
      </c>
      <c r="D39" s="64" t="n"/>
      <c r="E39" s="65" t="n"/>
      <c r="F39" s="65" t="n"/>
      <c r="G39" s="66" t="n"/>
    </row>
    <row r="40">
      <c r="A40" s="57">
        <f>$A$6&amp;"."&amp; (RIGHT(A36,1) + 1)</f>
        <v/>
      </c>
      <c r="B40" s="67" t="inlineStr"/>
      <c r="C40" s="32" t="inlineStr">
        <is>
          <t>Non exécuté</t>
        </is>
      </c>
      <c r="D40" s="12">
        <f>A40&amp;".1"</f>
        <v/>
      </c>
      <c r="E40" s="12" t="inlineStr"/>
      <c r="F40" s="12" t="inlineStr"/>
      <c r="G40" s="13" t="inlineStr"/>
    </row>
    <row r="41">
      <c r="A41" s="59" t="n"/>
      <c r="B41" s="60" t="n"/>
      <c r="C41" s="61" t="n"/>
      <c r="D41" s="3">
        <f>LEFT(D40,LEN(D40)-1)&amp; (RIGHT(D40,1) + 1)</f>
        <v/>
      </c>
      <c r="E41" s="3" t="inlineStr"/>
      <c r="F41" s="3" t="inlineStr"/>
      <c r="G41" s="14" t="inlineStr"/>
    </row>
    <row r="42" ht="15" customHeight="1" thickBot="1">
      <c r="A42" s="59" t="n"/>
      <c r="B42" s="60" t="n"/>
      <c r="C42" s="61" t="n"/>
      <c r="D42" s="3">
        <f>LEFT(D41,LEN(D41)-1)&amp; (RIGHT(D41,1) + 1)</f>
        <v/>
      </c>
      <c r="E42" s="15" t="inlineStr"/>
      <c r="F42" s="15" t="inlineStr"/>
      <c r="G42" s="16" t="inlineStr"/>
    </row>
    <row r="43" ht="15" customHeight="1" thickBot="1">
      <c r="A43" s="62" t="n"/>
      <c r="B43" s="63" t="n"/>
      <c r="C43" s="17" t="inlineStr">
        <is>
          <t>Commentaires:</t>
        </is>
      </c>
      <c r="D43" s="64" t="n"/>
      <c r="E43" s="65" t="n"/>
      <c r="F43" s="65" t="n"/>
      <c r="G43" s="66" t="n"/>
    </row>
    <row r="44">
      <c r="A44" s="57">
        <f>$A$6&amp;"."&amp; (RIGHT(A40,1) + 1)</f>
        <v/>
      </c>
      <c r="B44" s="67" t="inlineStr"/>
      <c r="C44" s="32" t="inlineStr">
        <is>
          <t>Non exécuté</t>
        </is>
      </c>
      <c r="D44" s="12">
        <f>A44&amp;".1"</f>
        <v/>
      </c>
      <c r="E44" s="12" t="inlineStr"/>
      <c r="F44" s="12" t="inlineStr"/>
      <c r="G44" s="13" t="inlineStr"/>
    </row>
    <row r="45">
      <c r="A45" s="59" t="n"/>
      <c r="B45" s="60" t="n"/>
      <c r="C45" s="61" t="n"/>
      <c r="D45" s="3">
        <f>LEFT(D44,LEN(D44)-1)&amp; (RIGHT(D44,1) + 1)</f>
        <v/>
      </c>
      <c r="E45" s="3" t="inlineStr"/>
      <c r="F45" s="3" t="inlineStr"/>
      <c r="G45" s="14" t="inlineStr"/>
    </row>
    <row r="46" ht="15" customHeight="1" thickBot="1">
      <c r="A46" s="59" t="n"/>
      <c r="B46" s="60" t="n"/>
      <c r="C46" s="61" t="n"/>
      <c r="D46" s="3">
        <f>LEFT(D45,LEN(D45)-1)&amp; (RIGHT(D45,1) + 1)</f>
        <v/>
      </c>
      <c r="E46" s="15" t="inlineStr"/>
      <c r="F46" s="15" t="inlineStr"/>
      <c r="G46" s="16" t="inlineStr"/>
    </row>
    <row r="47" ht="15" customHeight="1" thickBot="1">
      <c r="A47" s="62" t="n"/>
      <c r="B47" s="63" t="n"/>
      <c r="C47" s="17" t="inlineStr">
        <is>
          <t>Commentaires:</t>
        </is>
      </c>
      <c r="D47" s="64" t="n"/>
      <c r="E47" s="65" t="n"/>
      <c r="F47" s="65" t="n"/>
      <c r="G47" s="66" t="n"/>
    </row>
    <row r="48">
      <c r="A48" s="57">
        <f>$A$6&amp;"."&amp; (RIGHT(A44,1) + 1)</f>
        <v/>
      </c>
      <c r="B48" s="67" t="inlineStr"/>
      <c r="C48" s="32" t="inlineStr">
        <is>
          <t>Non exécuté</t>
        </is>
      </c>
      <c r="D48" s="12">
        <f>A48&amp;".1"</f>
        <v/>
      </c>
      <c r="E48" s="12" t="inlineStr"/>
      <c r="F48" s="12" t="inlineStr"/>
      <c r="G48" s="13" t="inlineStr"/>
    </row>
    <row r="49">
      <c r="A49" s="59" t="n"/>
      <c r="B49" s="60" t="n"/>
      <c r="C49" s="61" t="n"/>
      <c r="D49" s="3">
        <f>LEFT(D48,LEN(D48)-1)&amp; (RIGHT(D48,1) + 1)</f>
        <v/>
      </c>
      <c r="E49" s="3" t="inlineStr"/>
      <c r="F49" s="3" t="inlineStr"/>
      <c r="G49" s="14" t="inlineStr"/>
    </row>
    <row r="50" ht="15" customHeight="1" thickBot="1">
      <c r="A50" s="59" t="n"/>
      <c r="B50" s="60" t="n"/>
      <c r="C50" s="61" t="n"/>
      <c r="D50" s="3">
        <f>LEFT(D49,LEN(D49)-1)&amp; (RIGHT(D49,1) + 1)</f>
        <v/>
      </c>
      <c r="E50" s="15" t="inlineStr"/>
      <c r="F50" s="15" t="inlineStr"/>
      <c r="G50" s="16" t="inlineStr"/>
    </row>
    <row r="51" ht="15" customHeight="1" thickBot="1">
      <c r="A51" s="62" t="n"/>
      <c r="B51" s="63" t="n"/>
      <c r="C51" s="17" t="inlineStr">
        <is>
          <t>Commentaires:</t>
        </is>
      </c>
      <c r="D51" s="64" t="n"/>
      <c r="E51" s="65" t="n"/>
      <c r="F51" s="65" t="n"/>
      <c r="G51" s="66" t="n"/>
    </row>
    <row r="52">
      <c r="A52" s="57">
        <f>$A$6&amp;"."&amp; (RIGHT(A48,1) + 1)</f>
        <v/>
      </c>
      <c r="B52" s="67" t="inlineStr"/>
      <c r="C52" s="32" t="inlineStr">
        <is>
          <t>Non exécuté</t>
        </is>
      </c>
      <c r="D52" s="12">
        <f>A52&amp;".1"</f>
        <v/>
      </c>
      <c r="E52" s="12" t="inlineStr"/>
      <c r="F52" s="12" t="inlineStr"/>
      <c r="G52" s="13" t="inlineStr"/>
    </row>
    <row r="53">
      <c r="A53" s="59" t="n"/>
      <c r="B53" s="60" t="n"/>
      <c r="C53" s="61" t="n"/>
      <c r="D53" s="3">
        <f>LEFT(D52,LEN(D52)-1)&amp; (RIGHT(D52,1) + 1)</f>
        <v/>
      </c>
      <c r="E53" s="3" t="inlineStr"/>
      <c r="F53" s="3" t="inlineStr"/>
      <c r="G53" s="14" t="inlineStr"/>
    </row>
    <row r="54" ht="15" customHeight="1" thickBot="1">
      <c r="A54" s="59" t="n"/>
      <c r="B54" s="60" t="n"/>
      <c r="C54" s="61" t="n"/>
      <c r="D54" s="3">
        <f>LEFT(D53,LEN(D53)-1)&amp; (RIGHT(D53,1) + 1)</f>
        <v/>
      </c>
      <c r="E54" s="15" t="inlineStr"/>
      <c r="F54" s="15" t="inlineStr"/>
      <c r="G54" s="16" t="inlineStr"/>
    </row>
    <row r="55" ht="15" customHeight="1" thickBot="1">
      <c r="A55" s="62" t="n"/>
      <c r="B55" s="63" t="n"/>
      <c r="C55" s="17" t="inlineStr">
        <is>
          <t>Commentaires:</t>
        </is>
      </c>
      <c r="D55" s="64" t="n"/>
      <c r="E55" s="65" t="n"/>
      <c r="F55" s="65" t="n"/>
      <c r="G55" s="66" t="n"/>
    </row>
  </sheetData>
  <mergeCells count="47">
    <mergeCell ref="A36:A39"/>
    <mergeCell ref="A48:A51"/>
    <mergeCell ref="B14:D14"/>
    <mergeCell ref="A17:G17"/>
    <mergeCell ref="B22:B27"/>
    <mergeCell ref="D39:G39"/>
    <mergeCell ref="C48:C50"/>
    <mergeCell ref="B13:D13"/>
    <mergeCell ref="F6:G6"/>
    <mergeCell ref="D55:G55"/>
    <mergeCell ref="C32:C34"/>
    <mergeCell ref="D51:G51"/>
    <mergeCell ref="F7:G7"/>
    <mergeCell ref="B52:B55"/>
    <mergeCell ref="D35:G35"/>
    <mergeCell ref="F5:G5"/>
    <mergeCell ref="A19:A21"/>
    <mergeCell ref="C28:C30"/>
    <mergeCell ref="B48:B51"/>
    <mergeCell ref="B28:B31"/>
    <mergeCell ref="F8:G8"/>
    <mergeCell ref="A32:A35"/>
    <mergeCell ref="B44:B47"/>
    <mergeCell ref="D31:G31"/>
    <mergeCell ref="B40:B43"/>
    <mergeCell ref="D21:G21"/>
    <mergeCell ref="F13:G13"/>
    <mergeCell ref="D27:G27"/>
    <mergeCell ref="F9:G9"/>
    <mergeCell ref="C19:C20"/>
    <mergeCell ref="C44:C46"/>
    <mergeCell ref="B36:B39"/>
    <mergeCell ref="C40:C42"/>
    <mergeCell ref="A22:A27"/>
    <mergeCell ref="A44:A47"/>
    <mergeCell ref="A3:G3"/>
    <mergeCell ref="D47:G47"/>
    <mergeCell ref="A28:A31"/>
    <mergeCell ref="C52:C54"/>
    <mergeCell ref="F14:G14"/>
    <mergeCell ref="D43:G43"/>
    <mergeCell ref="B19:B21"/>
    <mergeCell ref="C22:C26"/>
    <mergeCell ref="B32:B35"/>
    <mergeCell ref="C36:C38"/>
    <mergeCell ref="A40:A43"/>
    <mergeCell ref="A52:A55"/>
  </mergeCells>
  <pageMargins left="0.2362204724409449" right="0.2362204724409449" top="0.7480314960629921" bottom="0.7480314960629921" header="0.3149606299212598" footer="0.3149606299212598"/>
  <pageSetup orientation="landscape" scale="53"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Dominic Raymond</dc:creator>
  <dcterms:created xmlns:dcterms="http://purl.org/dc/terms/" xmlns:xsi="http://www.w3.org/2001/XMLSchema-instance" xsi:type="dcterms:W3CDTF">2026-01-22T19:50:07Z</dcterms:created>
  <dcterms:modified xmlns:dcterms="http://purl.org/dc/terms/" xmlns:xsi="http://www.w3.org/2001/XMLSchema-instance" xsi:type="dcterms:W3CDTF">2026-05-01T09:21:46Z</dcterms:modified>
  <cp:lastModifiedBy>Dominic Raymond</cp:lastModifiedBy>
  <cp:lastPrinted>2026-01-22T21:47:56Z</cp:lastPrinted>
</cp:coreProperties>
</file>